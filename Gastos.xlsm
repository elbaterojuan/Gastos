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binary" PartName="/xl/metadata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"/>
    </mc:Choice>
  </mc:AlternateContent>
  <xr:revisionPtr revIDLastSave="0" documentId="13_ncr:1_{C730E1C9-D326-443A-AC06-DF56E5AB8D00}" xr6:coauthVersionLast="47" xr6:coauthVersionMax="47" xr10:uidLastSave="{00000000-0000-0000-0000-000000000000}"/>
  <bookViews>
    <workbookView xWindow="-110" yWindow="-110" windowWidth="19420" windowHeight="10300" firstSheet="5" activeTab="5" xr2:uid="{00000000-000D-0000-FFFF-FFFF00000000}"/>
  </bookViews>
  <sheets>
    <sheet name="Junio-25" sheetId="1" r:id="rId1"/>
    <sheet name="Julio-25" sheetId="2" r:id="rId2"/>
    <sheet name="Agosto-25" sheetId="3" r:id="rId3"/>
    <sheet name="Septiembre-25" sheetId="4" r:id="rId4"/>
    <sheet name="Octubre-25" sheetId="5" r:id="rId5"/>
    <sheet name="Noviembre-25" sheetId="6" r:id="rId6"/>
    <sheet name="Diciembre-25" sheetId="7" r:id="rId7"/>
    <sheet name="Enero-26" sheetId="9" r:id="rId8"/>
    <sheet name="Febrero-26" sheetId="10" r:id="rId9"/>
    <sheet name="Marzo-26" sheetId="11" r:id="rId10"/>
    <sheet name="Abril-26" sheetId="12" r:id="rId11"/>
    <sheet name="Mayo-26" sheetId="13" r:id="rId12"/>
    <sheet name="Junio-26" sheetId="14" r:id="rId13"/>
    <sheet name="Julio-26" sheetId="15" r:id="rId14"/>
    <sheet name="Agosto-26" sheetId="16" r:id="rId15"/>
    <sheet name="Septiembre-26" sheetId="17" r:id="rId16"/>
    <sheet name="Octubre-26" sheetId="18" r:id="rId17"/>
    <sheet name="Noviembre-26" sheetId="19" r:id="rId18"/>
    <sheet name="Diciembre-26" sheetId="20" r:id="rId19"/>
    <sheet name="Enero-27" sheetId="21" r:id="rId20"/>
    <sheet name="Febrero-27" sheetId="22" r:id="rId21"/>
    <sheet name="Marzo-27" sheetId="23" r:id="rId22"/>
    <sheet name="Abril-27" sheetId="24" r:id="rId23"/>
    <sheet name="Parametros" sheetId="8" state="hidden" r:id="rId24"/>
    <sheet name="Junio-27" sheetId="25" r:id="rId31"/>
    <sheet name="Mayo-27" sheetId="26" r:id="rId32"/>
  </sheets>
  <definedNames>
    <definedName name="Categoría">Parametros!$A$1:$A$23</definedName>
    <definedName name="Proporcional">Parametros!$C$1:$C$2</definedName>
    <definedName name="Quien">Parametros!$B$1:$B$2</definedName>
    <definedName name="Tipo">Parametros!$A$1:$A$23</definedName>
    <definedName name="wshNames">GET.WORKBOOK(1)</definedName>
  </definedNames>
  <calcPr calcId="191029" fullCalcOnLoad="1" fullPrecision="1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5" roundtripDataChecksum="3y9EaLuWYRw1h3w6BYqER4xgbwcW5SoNs4wSiyX2ySs="/>
    </ext>
  </extLst>
</workbook>
</file>

<file path=xl/sharedStrings.xml><?xml version="1.0" encoding="utf-8"?>
<sst xmlns="http://schemas.openxmlformats.org/spreadsheetml/2006/main" count="260" uniqueCount="260">
  <si>
    <t>Fecha</t>
  </si>
  <si>
    <t>Categoria</t>
  </si>
  <si>
    <t>Monto</t>
  </si>
  <si>
    <t>Quien pago</t>
  </si>
  <si>
    <t>Gasto Proporcional?</t>
  </si>
  <si>
    <t>Monto Dist Andrea</t>
  </si>
  <si>
    <t>Monto Dist Juan</t>
  </si>
  <si>
    <t>Comentarios</t>
  </si>
  <si>
    <t>Total</t>
  </si>
  <si>
    <t>Total Andrea</t>
  </si>
  <si>
    <t>Total Juan</t>
  </si>
  <si>
    <t>Debe Andrea</t>
  </si>
  <si>
    <t>Debe Juan</t>
  </si>
  <si>
    <t>Salida</t>
  </si>
  <si>
    <t>Juan</t>
  </si>
  <si>
    <t>SI</t>
  </si>
  <si>
    <t>Otros</t>
  </si>
  <si>
    <t>NO</t>
  </si>
  <si>
    <t>Mesita de luz</t>
  </si>
  <si>
    <t>Farmacia</t>
  </si>
  <si>
    <t>Andrea</t>
  </si>
  <si>
    <t>Ferretería</t>
  </si>
  <si>
    <t>Macetas</t>
  </si>
  <si>
    <t>Limpieza</t>
  </si>
  <si>
    <t>Sueldo Andrea</t>
  </si>
  <si>
    <t>Sueldo Juan</t>
  </si>
  <si>
    <t>Bazar</t>
  </si>
  <si>
    <t>Supermercado</t>
  </si>
  <si>
    <t>Porcentaje Andrea</t>
  </si>
  <si>
    <t>ferreteria</t>
  </si>
  <si>
    <t>Porcentaje Juan</t>
  </si>
  <si>
    <t>bazar</t>
  </si>
  <si>
    <t>Tacho de basura 1/3</t>
  </si>
  <si>
    <t>Viandas</t>
  </si>
  <si>
    <t>Pedidos ya</t>
  </si>
  <si>
    <t>Verduleria</t>
  </si>
  <si>
    <t>Almacen</t>
  </si>
  <si>
    <t>Luna</t>
  </si>
  <si>
    <t>Pedidos Ya</t>
  </si>
  <si>
    <t>Golosinas</t>
  </si>
  <si>
    <t>Acolchado</t>
  </si>
  <si>
    <t>Cabify</t>
  </si>
  <si>
    <t>Tacho de basura 2/3</t>
  </si>
  <si>
    <t>Perchas 1/6</t>
  </si>
  <si>
    <t>Varios Mercado libre 1/6</t>
  </si>
  <si>
    <t>Mercadolibre 1/3</t>
  </si>
  <si>
    <t>Consolidación</t>
  </si>
  <si>
    <t>Sushi Fabric</t>
  </si>
  <si>
    <t>Chanta 1/3</t>
  </si>
  <si>
    <t>Flow</t>
  </si>
  <si>
    <t>Pomada zapatos</t>
  </si>
  <si>
    <t>Expensas</t>
  </si>
  <si>
    <t>Impuesto municipal</t>
  </si>
  <si>
    <t>Comida gatas 1/3</t>
  </si>
  <si>
    <t>Claro</t>
  </si>
  <si>
    <t>Cervezas</t>
  </si>
  <si>
    <t>Mon Ange</t>
  </si>
  <si>
    <t>Desayuno</t>
  </si>
  <si>
    <t>Kansas</t>
  </si>
  <si>
    <t>Rapanui</t>
  </si>
  <si>
    <t>Almuerzo</t>
  </si>
  <si>
    <t>Delivery</t>
  </si>
  <si>
    <t>Metrogas</t>
  </si>
  <si>
    <t>Carnicería</t>
  </si>
  <si>
    <t>Vivero</t>
  </si>
  <si>
    <t>Papota</t>
  </si>
  <si>
    <t>Edesur</t>
  </si>
  <si>
    <t>La Juvenil</t>
  </si>
  <si>
    <t>Mercado Libre</t>
  </si>
  <si>
    <t>Podologa</t>
  </si>
  <si>
    <t>Cremas</t>
  </si>
  <si>
    <t>Barbería</t>
  </si>
  <si>
    <t>juncal</t>
  </si>
  <si>
    <t>lechuga</t>
  </si>
  <si>
    <t>almuerzo</t>
  </si>
  <si>
    <t>Veneno rata</t>
  </si>
  <si>
    <t>Plantas</t>
  </si>
  <si>
    <t>Bandeja</t>
  </si>
  <si>
    <t>Día del amigo</t>
  </si>
  <si>
    <t>Gatas</t>
  </si>
  <si>
    <t>Tacho de basura 3/3</t>
  </si>
  <si>
    <t>Perchas 2/6</t>
  </si>
  <si>
    <t>Varios Mercado libre 2/6</t>
  </si>
  <si>
    <t>Mercadolibre 2/3</t>
  </si>
  <si>
    <t>Varios Mercado Lbre 1/6</t>
  </si>
  <si>
    <t>Chanta 2/3</t>
  </si>
  <si>
    <t>Tarro Luna 1/6</t>
  </si>
  <si>
    <t>Tazas 1/3</t>
  </si>
  <si>
    <t>Comida gatas 2/3</t>
  </si>
  <si>
    <t>Amarettos 1/3</t>
  </si>
  <si>
    <t>Pintura 1/6</t>
  </si>
  <si>
    <t>Pigmento 1/9</t>
  </si>
  <si>
    <t>Antihumedad 1/3</t>
  </si>
  <si>
    <t>Bolsas zapatillas 1/3</t>
  </si>
  <si>
    <t>Bazar 1/6</t>
  </si>
  <si>
    <t>Curso 1/12</t>
  </si>
  <si>
    <t>Entrada Mati</t>
  </si>
  <si>
    <t>Pertutti</t>
  </si>
  <si>
    <t>Tecnicatura</t>
  </si>
  <si>
    <t>Seguro Hogar</t>
  </si>
  <si>
    <t>Gout</t>
  </si>
  <si>
    <t>Mon Age</t>
  </si>
  <si>
    <t>Regalo emma 1/3</t>
  </si>
  <si>
    <t>Varios Mercado libre 3/6</t>
  </si>
  <si>
    <t>Perchas 3/6</t>
  </si>
  <si>
    <t>Mercadolibre 3/3</t>
  </si>
  <si>
    <t>Varios Mercado Lbre 2/6</t>
  </si>
  <si>
    <t>Chanta 3/3</t>
  </si>
  <si>
    <t>Tarro Luna 2/6</t>
  </si>
  <si>
    <t>Tazas 2/3</t>
  </si>
  <si>
    <t>Comida gatas 3/3</t>
  </si>
  <si>
    <t>Amarettos 2/3</t>
  </si>
  <si>
    <t>Pintura 2/6</t>
  </si>
  <si>
    <t>Pigmento 2/9</t>
  </si>
  <si>
    <t>Antihumedad 2/3</t>
  </si>
  <si>
    <t>Bolsas zapatillas 2/3</t>
  </si>
  <si>
    <t>Bazar 2/6</t>
  </si>
  <si>
    <t>Curso 2/12</t>
  </si>
  <si>
    <t>Regalo emma 2/3</t>
  </si>
  <si>
    <t>Electricista</t>
  </si>
  <si>
    <t>Sandwichera</t>
  </si>
  <si>
    <t>Sahumo</t>
  </si>
  <si>
    <t>Disney+</t>
  </si>
  <si>
    <t>Prime Video</t>
  </si>
  <si>
    <t>Facultad</t>
  </si>
  <si>
    <t>Flores</t>
  </si>
  <si>
    <t>Pelu</t>
  </si>
  <si>
    <t>Netflix</t>
  </si>
  <si>
    <t>Apple Tv</t>
  </si>
  <si>
    <t>Pastas</t>
  </si>
  <si>
    <t>Varios Mercado libre 4/6</t>
  </si>
  <si>
    <t>Perchas 4/6</t>
  </si>
  <si>
    <t>Varios Mercado Lbre 3/6</t>
  </si>
  <si>
    <t>Tarro Luna 3/6</t>
  </si>
  <si>
    <t>Tazas 3/3</t>
  </si>
  <si>
    <t>Pintura 3/6</t>
  </si>
  <si>
    <t>Pigmento 3/9</t>
  </si>
  <si>
    <t>Antihumedad 3/3</t>
  </si>
  <si>
    <t>Bolsas zapatillas 3/3</t>
  </si>
  <si>
    <t>Bazar 3/6</t>
  </si>
  <si>
    <t>Curso 3/12</t>
  </si>
  <si>
    <t>Regalo emma 3/3</t>
  </si>
  <si>
    <t>Alfombra 1/3</t>
  </si>
  <si>
    <t>Líquidos lentes 1/3</t>
  </si>
  <si>
    <t>Cuota 1/3</t>
  </si>
  <si>
    <t>Regalo Graciela 1/3</t>
  </si>
  <si>
    <t>Baño de crema 1/3</t>
  </si>
  <si>
    <t>dietetica</t>
  </si>
  <si>
    <t>Pepaid card Tele</t>
  </si>
  <si>
    <t>Filtros</t>
  </si>
  <si>
    <t>TUA</t>
  </si>
  <si>
    <t>Ingles</t>
  </si>
  <si>
    <t>Helado</t>
  </si>
  <si>
    <t>Comida Luna y cables 1/9</t>
  </si>
  <si>
    <t>Huevos</t>
  </si>
  <si>
    <t>Varios Mercado libre 5/6</t>
  </si>
  <si>
    <t>Perchas 5/6</t>
  </si>
  <si>
    <t>Varios Mercado Lbre 4/6</t>
  </si>
  <si>
    <t>Tarro Luna 4/6</t>
  </si>
  <si>
    <t>Pintura 4/6</t>
  </si>
  <si>
    <t>Pigmento 4/9</t>
  </si>
  <si>
    <t>Bazar 4/6</t>
  </si>
  <si>
    <t>Curso 4/12</t>
  </si>
  <si>
    <t>Alfombra 2/3</t>
  </si>
  <si>
    <t>Líquidos lentes 2/3</t>
  </si>
  <si>
    <t>Cuota 2/3</t>
  </si>
  <si>
    <t>Regalo Graciela 2/3</t>
  </si>
  <si>
    <t>Baño de crema 2/3</t>
  </si>
  <si>
    <t>Planchita 1/3</t>
  </si>
  <si>
    <t>Pigmento 1/6</t>
  </si>
  <si>
    <t>Tele 1/18</t>
  </si>
  <si>
    <t>Comida Luna y cables 2/9</t>
  </si>
  <si>
    <t>zapatillas mati 1/6</t>
  </si>
  <si>
    <t>No</t>
  </si>
  <si>
    <t/>
  </si>
  <si>
    <t>Sí</t>
  </si>
  <si>
    <t>aa</t>
  </si>
  <si>
    <t>Cuota 1/12</t>
  </si>
  <si>
    <t>Varios Mercado libre 6/6</t>
  </si>
  <si>
    <t>Perchas 6/6</t>
  </si>
  <si>
    <t>Varios Mercado Lbre 5/6</t>
  </si>
  <si>
    <t>Tarro Luna 5/6</t>
  </si>
  <si>
    <t>Pintura 5/6</t>
  </si>
  <si>
    <t>Pigmento 5/9</t>
  </si>
  <si>
    <t>Bazar 5/6</t>
  </si>
  <si>
    <t>Curso 5/12</t>
  </si>
  <si>
    <t>Alfombra 3/3</t>
  </si>
  <si>
    <t>Líquidos lentes 3/3</t>
  </si>
  <si>
    <t>Cuota 3/3</t>
  </si>
  <si>
    <t>Regalo Graciela 3/3</t>
  </si>
  <si>
    <t>Baño de crema 3/3</t>
  </si>
  <si>
    <t>Planchita 2/3</t>
  </si>
  <si>
    <t>Pigmento 2/6</t>
  </si>
  <si>
    <t>Tele 2/18</t>
  </si>
  <si>
    <t>Comida Luna y cables 3/9</t>
  </si>
  <si>
    <t>zapatillas mati 2/6</t>
  </si>
  <si>
    <t>Cuota 2/12</t>
  </si>
  <si>
    <t>Tarro Luna 6/6</t>
  </si>
  <si>
    <t>Pintura 6/6</t>
  </si>
  <si>
    <t>Pigmento 6/9</t>
  </si>
  <si>
    <t>Bazar 6/6</t>
  </si>
  <si>
    <t>Curso 6/12</t>
  </si>
  <si>
    <t>Planchita 3/3</t>
  </si>
  <si>
    <t>Pigmento 3/6</t>
  </si>
  <si>
    <t>Tele 3/18</t>
  </si>
  <si>
    <t>Comida Luna y cables 4/9</t>
  </si>
  <si>
    <t>zapatillas mati 3/6</t>
  </si>
  <si>
    <t>Cuota 3/12</t>
  </si>
  <si>
    <t>Pigmento 7/9</t>
  </si>
  <si>
    <t>Curso 7/12</t>
  </si>
  <si>
    <t>Pigmento 4/6</t>
  </si>
  <si>
    <t>Tele 4/18</t>
  </si>
  <si>
    <t>Comida Luna y cables 5/9</t>
  </si>
  <si>
    <t>zapatillas mati 4/6</t>
  </si>
  <si>
    <t>Cuota 4/12</t>
  </si>
  <si>
    <t>Pigmento 8/9</t>
  </si>
  <si>
    <t>Curso 8/12</t>
  </si>
  <si>
    <t>Pigmento 5/6</t>
  </si>
  <si>
    <t>Tele 5/18</t>
  </si>
  <si>
    <t>Comida Luna y cables 6/9</t>
  </si>
  <si>
    <t>zapatillas mati 5/6</t>
  </si>
  <si>
    <t>Cuota 5/12</t>
  </si>
  <si>
    <t>Pigmento 9/9</t>
  </si>
  <si>
    <t>Curso 9/12</t>
  </si>
  <si>
    <t>Pigmento 6/6</t>
  </si>
  <si>
    <t>Tele 6/18</t>
  </si>
  <si>
    <t>Comida Luna y cables 7/9</t>
  </si>
  <si>
    <t>zapatillas mati 6/6</t>
  </si>
  <si>
    <t>Cuota 6/12</t>
  </si>
  <si>
    <t>Curso 10/12</t>
  </si>
  <si>
    <t>Tele 7/18</t>
  </si>
  <si>
    <t>Comida Luna y cables 8/9</t>
  </si>
  <si>
    <t>Cuota 7/12</t>
  </si>
  <si>
    <t>Curso 11/12</t>
  </si>
  <si>
    <t>Tele 8/18</t>
  </si>
  <si>
    <t>Comida Luna y cables 9/9</t>
  </si>
  <si>
    <t>Cuota 8/12</t>
  </si>
  <si>
    <t>Curso 12/12</t>
  </si>
  <si>
    <t>Tele 9/18</t>
  </si>
  <si>
    <t>Cuota 9/12</t>
  </si>
  <si>
    <t>Tele 10/18</t>
  </si>
  <si>
    <t>Cuota 10/12</t>
  </si>
  <si>
    <t>Tele 14/18</t>
  </si>
  <si>
    <t>Tele 15/18</t>
  </si>
  <si>
    <t>Tele 16/18</t>
  </si>
  <si>
    <t>Tele 17/18</t>
  </si>
  <si>
    <t>Tele 18/18</t>
  </si>
  <si>
    <t>Pescadería</t>
  </si>
  <si>
    <t>Sushi</t>
  </si>
  <si>
    <t>Arba</t>
  </si>
  <si>
    <t>Telefónica</t>
  </si>
  <si>
    <t>Cablevisión</t>
  </si>
  <si>
    <t>Prestamo</t>
  </si>
  <si>
    <t>Spotify</t>
  </si>
  <si>
    <t>Tele 11/18</t>
  </si>
  <si>
    <t>Cuota 11/12</t>
  </si>
  <si>
    <t>Tele 13/18</t>
  </si>
  <si>
    <t>Tele 12/18</t>
  </si>
  <si>
    <t>Cuota 12/12</t>
  </si>
  <si>
    <t>Cuota 1/1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</si>
</sst>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/mm/yyyy"/>
    <numFmt numFmtId="165" formatCode="&quot;$&quot;\ #,##0.00;&quot;$&quot;\ \-#,##0.00"/>
    <numFmt numFmtId="166" formatCode="&quot;$&quot;\ #,##0.00"/>
    <numFmt numFmtId="167" formatCode="&quot;$&quot;#,##0.00"/>
    <numFmt numFmtId="168" formatCode="0.0%"/>
    <numFmt numFmtId="169" formatCode="$#,##0.00"/>
  </numFmts>
  <fonts count="4">
    <font>
      <sz val="11"/>
      <color theme="1"/>
      <name val="Calibri"/>
      <scheme val="minor"/>
    </font>
    <font>
      <b/>
      <sz val="11"/>
      <color theme="1"/>
      <name val="Calibri"/>
    </font>
    <font>
      <sz val="11"/>
      <color theme="1"/>
      <name val="Calibri"/>
    </font>
    <font>
      <b/>
      <sz val="11"/>
      <color rgb="FFFF0000"/>
      <name val="Calibri"/>
    </font>
  </fonts>
  <fills count="5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applyFont="1" fillId="2" applyFill="1" borderId="1" applyBorder="1" xfId="0"/>
    <xf numFmtId="0" fontId="1" applyFont="1" fillId="2" applyFill="1" borderId="2" applyBorder="1" xfId="0"/>
    <xf numFmtId="0" fontId="1" applyFont="1" fillId="2" applyFill="1" borderId="3" applyBorder="1" xfId="0"/>
    <xf numFmtId="0" fontId="1" applyFont="1" fillId="3" applyFill="1" borderId="3" applyBorder="1" xfId="0"/>
    <xf numFmtId="0" fontId="1" applyFont="1" fillId="4" applyFill="1" borderId="4" applyBorder="1" xfId="0"/>
    <xf numFmtId="0" fontId="2" applyFont="1" fillId="4" applyFill="1" borderId="4" applyBorder="1" xfId="0"/>
    <xf numFmtId="164" applyNumberFormat="1" fontId="2" applyFont="1" fillId="0" borderId="1" applyBorder="1" xfId="0"/>
    <xf numFmtId="14" applyNumberFormat="1" fontId="2" applyFont="1" fillId="0" borderId="1" applyBorder="1" xfId="0"/>
    <xf numFmtId="165" applyNumberFormat="1" fontId="2" applyFont="1" fillId="0" borderId="1" applyBorder="1" xfId="0"/>
    <xf numFmtId="0" fontId="2" applyFont="1" fillId="0" borderId="1" applyBorder="1" xfId="0"/>
    <xf numFmtId="165" applyNumberFormat="1" fontId="2" applyFont="1" fillId="0" borderId="0" xfId="0"/>
    <xf numFmtId="166" applyNumberFormat="1" fontId="1" applyFont="1" fillId="0" borderId="4" applyBorder="1" xfId="0"/>
    <xf numFmtId="166" applyNumberFormat="1" fontId="3" applyFont="1" fillId="0" borderId="4" applyBorder="1" xfId="0"/>
    <xf numFmtId="167" applyNumberFormat="1" fontId="1" applyFont="1" fillId="0" borderId="1" applyBorder="1" xfId="0"/>
    <xf numFmtId="168" applyNumberFormat="1" fontId="1" applyFont="1" fillId="0" borderId="1" applyBorder="1" xfId="0"/>
    <xf numFmtId="0" fontId="3" applyFont="1" fillId="0" borderId="0" xfId="0"/>
    <xf numFmtId="0" fontId="2" applyFont="1" fillId="0" borderId="0" xfId="0"/>
    <xf numFmtId="0" fontId="2" applyFont="1" fillId="4" applyFill="1" borderId="3" applyBorder="1" xfId="0"/>
    <xf numFmtId="14" applyNumberFormat="1" fontId="0" fillId="0" borderId="0" xfId="0"/>
    <xf numFmtId="164" applyNumberFormat="1" fontId="0" fillId="0" borderId="0"/>
    <xf numFmtId="169" applyNumberFormat="1" fontId="0" fillId="0" borderId="0"/>
  </cellXfs>
  <cellStyles count="1">
    <cellStyle name="Normal" xfId="0" builtinId="0"/>
  </cellStyles>
  <dxfs count="47"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Relationship Id="rId31" Type="http://schemas.openxmlformats.org/officeDocument/2006/relationships/worksheet" Target="worksheets/sheet25.xml"/><Relationship Id="rId32" Type="http://schemas.openxmlformats.org/officeDocument/2006/relationships/worksheet" Target="worksheets/sheet26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25"/>
  <dimension ref="A1:N51"/>
  <sheetViews>
    <sheetView zoomScale="85" zoomScaleNormal="85" workbookViewId="0">
      <selection activeCell="K41" sqref="K41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6" hidden="1" width="17.26953125" customWidth="1"/>
    <col min="7" max="7" hidden="1" width="14.816406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width="13.542968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45809</v>
      </c>
      <c r="B2" s="8" t="s">
        <v>13</v>
      </c>
      <c r="C2" s="9">
        <v>21460</v>
      </c>
      <c r="D2" s="10" t="s">
        <v>14</v>
      </c>
      <c r="E2" s="10" t="s">
        <v>15</v>
      </c>
      <c r="F2" s="11">
        <f ref="F2:F50" t="shared" si="0">IF(B2="Consolidación",0,IF(E2="NO",C2*0.5,C2*$K$10))</f>
        <v>8775.6976989305731</v>
      </c>
      <c r="G2" s="11">
        <f ref="G2:G50" t="shared" si="1">IF(B2="Consolidación",0,IF(E2="NO",C2*0.5,C2*$K$11))</f>
        <v>12684.302301069427</v>
      </c>
      <c r="H2" s="9"/>
      <c r="I2" s="11"/>
      <c r="J2" s="12">
        <f>SUM(K2,L2)</f>
        <v>2670768.91</v>
      </c>
      <c r="K2" s="12">
        <f>SUMIF(D2:D50,"Andrea",C2:C50)-SUMIFS(C2:C50,B2:B50,"Consolidación",D2:D50,"Juan")</f>
        <v>890948</v>
      </c>
      <c r="L2" s="12">
        <f>SUMIF(D2:D50,"Juan",C2:C50)-SUMIFS(C2:C50,B2:B50,"Consolidación",D2:D50,"Andrea")</f>
        <v>1779820.91</v>
      </c>
      <c r="M2" s="13">
        <f ref="M2:N2" t="shared" si="2">SUM(F2:F50)-K2</f>
        <v>249944.58960868744</v>
      </c>
      <c r="N2" s="13">
        <f t="shared" si="2"/>
        <v>-249944.58960868744</v>
      </c>
    </row>
    <row r="3" ht="14.25" customHeight="1">
      <c r="A3" s="7">
        <v>45809</v>
      </c>
      <c r="B3" s="8" t="s">
        <v>16</v>
      </c>
      <c r="C3" s="9">
        <v>500000</v>
      </c>
      <c r="D3" s="10" t="s">
        <v>14</v>
      </c>
      <c r="E3" s="10" t="s">
        <v>17</v>
      </c>
      <c r="F3" s="11">
        <f t="shared" si="0"/>
        <v>250000</v>
      </c>
      <c r="G3" s="11">
        <f t="shared" si="1"/>
        <v>250000</v>
      </c>
      <c r="H3" s="9" t="s">
        <v>18</v>
      </c>
      <c r="I3" s="11"/>
    </row>
    <row r="4" ht="14.25" customHeight="1">
      <c r="A4" s="7">
        <v>45810</v>
      </c>
      <c r="B4" s="8" t="s">
        <v>19</v>
      </c>
      <c r="C4" s="9">
        <v>21569</v>
      </c>
      <c r="D4" s="10" t="s">
        <v>20</v>
      </c>
      <c r="E4" s="10" t="s">
        <v>15</v>
      </c>
      <c r="F4" s="11">
        <f t="shared" si="0"/>
        <v>8820.2713731702479</v>
      </c>
      <c r="G4" s="11">
        <f t="shared" si="1"/>
        <v>12748.728626829752</v>
      </c>
      <c r="H4" s="9"/>
      <c r="I4" s="11"/>
    </row>
    <row r="5" ht="14.25" customHeight="1">
      <c r="A5" s="7">
        <v>45810</v>
      </c>
      <c r="B5" s="8" t="s">
        <v>16</v>
      </c>
      <c r="C5" s="9">
        <v>1330</v>
      </c>
      <c r="D5" s="10" t="s">
        <v>20</v>
      </c>
      <c r="E5" s="10" t="s">
        <v>15</v>
      </c>
      <c r="F5" s="11">
        <f t="shared" si="0"/>
        <v>543.88061228227684</v>
      </c>
      <c r="G5" s="11">
        <f t="shared" si="1"/>
        <v>786.11938771772316</v>
      </c>
      <c r="H5" s="9" t="s">
        <v>21</v>
      </c>
      <c r="I5" s="11"/>
    </row>
    <row r="6" ht="14.25" customHeight="1">
      <c r="A6" s="7">
        <v>45810</v>
      </c>
      <c r="B6" s="8" t="s">
        <v>16</v>
      </c>
      <c r="C6" s="9">
        <v>35300</v>
      </c>
      <c r="D6" s="10" t="s">
        <v>20</v>
      </c>
      <c r="E6" s="10" t="s">
        <v>15</v>
      </c>
      <c r="F6" s="11">
        <f t="shared" si="0"/>
        <v>14435.327528995769</v>
      </c>
      <c r="G6" s="11">
        <f t="shared" si="1"/>
        <v>20864.672471004233</v>
      </c>
      <c r="H6" s="9" t="s">
        <v>22</v>
      </c>
      <c r="I6" s="11"/>
    </row>
    <row r="7" ht="14.25" customHeight="1">
      <c r="A7" s="7">
        <v>45810</v>
      </c>
      <c r="B7" s="8" t="s">
        <v>23</v>
      </c>
      <c r="C7" s="9">
        <v>2000</v>
      </c>
      <c r="D7" s="10" t="s">
        <v>20</v>
      </c>
      <c r="E7" s="10" t="s">
        <v>15</v>
      </c>
      <c r="F7" s="11">
        <f t="shared" si="0"/>
        <v>817.86558237936367</v>
      </c>
      <c r="G7" s="11">
        <f t="shared" si="1"/>
        <v>1182.1344176206362</v>
      </c>
      <c r="H7" s="9"/>
      <c r="I7" s="11"/>
      <c r="J7" s="10" t="s">
        <v>24</v>
      </c>
      <c r="K7" s="14">
        <v>1774992</v>
      </c>
    </row>
    <row r="8" ht="14.25" customHeight="1">
      <c r="A8" s="7">
        <v>45810</v>
      </c>
      <c r="B8" s="8" t="s">
        <v>19</v>
      </c>
      <c r="C8" s="9">
        <v>29469</v>
      </c>
      <c r="D8" s="10" t="s">
        <v>20</v>
      </c>
      <c r="E8" s="10" t="s">
        <v>15</v>
      </c>
      <c r="F8" s="11">
        <f t="shared" si="0"/>
        <v>12050.840423568734</v>
      </c>
      <c r="G8" s="11">
        <f t="shared" si="1"/>
        <v>17418.159576431266</v>
      </c>
      <c r="H8" s="9"/>
      <c r="I8" s="11"/>
      <c r="J8" s="10" t="s">
        <v>25</v>
      </c>
      <c r="K8" s="14">
        <v>2565555</v>
      </c>
    </row>
    <row r="9" ht="14.25" customHeight="1">
      <c r="A9" s="7">
        <v>45810</v>
      </c>
      <c r="B9" s="8" t="s">
        <v>16</v>
      </c>
      <c r="C9" s="9">
        <v>11500</v>
      </c>
      <c r="D9" s="10" t="s">
        <v>20</v>
      </c>
      <c r="E9" s="10" t="s">
        <v>15</v>
      </c>
      <c r="F9" s="11">
        <f t="shared" si="0"/>
        <v>4702.727098681341</v>
      </c>
      <c r="G9" s="11">
        <f t="shared" si="1"/>
        <v>6797.272901318659</v>
      </c>
      <c r="H9" s="9" t="s">
        <v>26</v>
      </c>
      <c r="I9" s="11"/>
      <c r="J9" s="10" t="s">
        <v>8</v>
      </c>
      <c r="K9" s="14">
        <f>SUM(K7:K8)</f>
        <v>4340547</v>
      </c>
    </row>
    <row r="10" ht="14.25" customHeight="1">
      <c r="A10" s="7">
        <v>45811</v>
      </c>
      <c r="B10" s="8" t="s">
        <v>27</v>
      </c>
      <c r="C10" s="9">
        <v>152114.7</v>
      </c>
      <c r="D10" s="10" t="s">
        <v>14</v>
      </c>
      <c r="E10" s="10" t="s">
        <v>15</v>
      </c>
      <c r="F10" s="11">
        <f t="shared" si="0"/>
        <v>62204.688851981104</v>
      </c>
      <c r="G10" s="11">
        <f t="shared" si="1"/>
        <v>89910.011148018908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>
        <v>45811</v>
      </c>
      <c r="B11" s="8" t="s">
        <v>16</v>
      </c>
      <c r="C11" s="9">
        <v>17200</v>
      </c>
      <c r="D11" s="10" t="s">
        <v>20</v>
      </c>
      <c r="E11" s="10" t="s">
        <v>15</v>
      </c>
      <c r="F11" s="11">
        <f t="shared" si="0"/>
        <v>7033.6440084625274</v>
      </c>
      <c r="G11" s="11">
        <f t="shared" si="1"/>
        <v>10166.355991537472</v>
      </c>
      <c r="H11" s="9" t="s">
        <v>29</v>
      </c>
      <c r="I11" s="11"/>
      <c r="J11" s="10" t="s">
        <v>30</v>
      </c>
      <c r="K11" s="15">
        <f>K8/K9</f>
        <v>0.59106720881031816</v>
      </c>
    </row>
    <row r="12" ht="14.25" customHeight="1">
      <c r="A12" s="7">
        <v>45811</v>
      </c>
      <c r="B12" s="8" t="s">
        <v>16</v>
      </c>
      <c r="C12" s="9">
        <v>6700</v>
      </c>
      <c r="D12" s="10" t="s">
        <v>20</v>
      </c>
      <c r="E12" s="10" t="s">
        <v>15</v>
      </c>
      <c r="F12" s="11">
        <f t="shared" si="0"/>
        <v>2739.8497009708685</v>
      </c>
      <c r="G12" s="11">
        <f t="shared" si="1"/>
        <v>3960.1502990291315</v>
      </c>
      <c r="H12" s="9" t="s">
        <v>31</v>
      </c>
      <c r="I12" s="11"/>
    </row>
    <row r="13" ht="14.25" customHeight="1">
      <c r="A13" s="7">
        <v>45795</v>
      </c>
      <c r="B13" s="10" t="s">
        <v>16</v>
      </c>
      <c r="C13" s="9">
        <v>50000</v>
      </c>
      <c r="D13" s="10" t="s">
        <v>14</v>
      </c>
      <c r="E13" s="10" t="s">
        <v>15</v>
      </c>
      <c r="F13" s="11">
        <f t="shared" si="0"/>
        <v>20446.639559484091</v>
      </c>
      <c r="G13" s="11">
        <f t="shared" si="1"/>
        <v>29553.360440515909</v>
      </c>
      <c r="H13" s="9" t="s">
        <v>32</v>
      </c>
      <c r="I13" s="11"/>
    </row>
    <row r="14" ht="14.25" customHeight="1">
      <c r="A14" s="7">
        <v>45812</v>
      </c>
      <c r="B14" s="10" t="s">
        <v>33</v>
      </c>
      <c r="C14" s="9">
        <v>190899</v>
      </c>
      <c r="D14" s="10" t="s">
        <v>14</v>
      </c>
      <c r="E14" s="10" t="s">
        <v>15</v>
      </c>
      <c r="F14" s="11">
        <f t="shared" si="0"/>
        <v>78064.860905319074</v>
      </c>
      <c r="G14" s="11">
        <f t="shared" si="1"/>
        <v>112834.13909468093</v>
      </c>
      <c r="H14" s="9"/>
      <c r="I14" s="11"/>
    </row>
    <row r="15" ht="14.25" customHeight="1">
      <c r="A15" s="7">
        <v>45812</v>
      </c>
      <c r="B15" s="8" t="s">
        <v>23</v>
      </c>
      <c r="C15" s="9">
        <v>500</v>
      </c>
      <c r="D15" s="10" t="s">
        <v>20</v>
      </c>
      <c r="E15" s="10" t="s">
        <v>15</v>
      </c>
      <c r="F15" s="11">
        <f t="shared" si="0"/>
        <v>204.46639559484092</v>
      </c>
      <c r="G15" s="11">
        <f t="shared" si="1"/>
        <v>295.53360440515905</v>
      </c>
      <c r="H15" s="9"/>
      <c r="I15" s="11"/>
      <c r="K15" s="16"/>
    </row>
    <row r="16" ht="14.25" customHeight="1">
      <c r="A16" s="7">
        <v>45814</v>
      </c>
      <c r="B16" s="8" t="s">
        <v>27</v>
      </c>
      <c r="C16" s="9">
        <v>48472</v>
      </c>
      <c r="D16" s="10" t="s">
        <v>20</v>
      </c>
      <c r="E16" s="10" t="s">
        <v>15</v>
      </c>
      <c r="F16" s="11">
        <f t="shared" si="0"/>
        <v>19821.790254546257</v>
      </c>
      <c r="G16" s="11">
        <f t="shared" si="1"/>
        <v>28650.209745453743</v>
      </c>
      <c r="H16" s="9"/>
      <c r="I16" s="11"/>
    </row>
    <row r="17" ht="14.25" customHeight="1">
      <c r="A17" s="7">
        <v>45815</v>
      </c>
      <c r="B17" s="8" t="s">
        <v>27</v>
      </c>
      <c r="C17" s="9">
        <v>16612</v>
      </c>
      <c r="D17" s="10" t="s">
        <v>14</v>
      </c>
      <c r="E17" s="10" t="s">
        <v>15</v>
      </c>
      <c r="F17" s="11">
        <f t="shared" si="0"/>
        <v>6793.1915272429951</v>
      </c>
      <c r="G17" s="11">
        <f t="shared" si="1"/>
        <v>9818.8084727570058</v>
      </c>
      <c r="H17" s="9"/>
      <c r="I17" s="11"/>
    </row>
    <row r="18" ht="14.25" customHeight="1">
      <c r="A18" s="7">
        <v>45816</v>
      </c>
      <c r="B18" s="8" t="s">
        <v>13</v>
      </c>
      <c r="C18" s="9">
        <v>24000</v>
      </c>
      <c r="D18" s="10" t="s">
        <v>14</v>
      </c>
      <c r="E18" s="10" t="s">
        <v>15</v>
      </c>
      <c r="F18" s="11">
        <f t="shared" si="0"/>
        <v>9814.3869885523636</v>
      </c>
      <c r="G18" s="11">
        <f t="shared" si="1"/>
        <v>14185.613011447636</v>
      </c>
      <c r="H18" s="9"/>
      <c r="I18" s="11"/>
    </row>
    <row r="19" ht="14.25" customHeight="1">
      <c r="A19" s="7">
        <v>45816</v>
      </c>
      <c r="B19" s="8" t="s">
        <v>19</v>
      </c>
      <c r="C19" s="9">
        <v>22906</v>
      </c>
      <c r="D19" s="10" t="s">
        <v>14</v>
      </c>
      <c r="E19" s="10" t="s">
        <v>15</v>
      </c>
      <c r="F19" s="11">
        <f t="shared" si="0"/>
        <v>9367.0145149908531</v>
      </c>
      <c r="G19" s="11">
        <f t="shared" si="1"/>
        <v>13538.985485009147</v>
      </c>
      <c r="H19" s="9"/>
      <c r="I19" s="11"/>
    </row>
    <row r="20" ht="14.25" customHeight="1">
      <c r="A20" s="7">
        <v>45815</v>
      </c>
      <c r="B20" s="8" t="s">
        <v>27</v>
      </c>
      <c r="C20" s="9">
        <v>188000</v>
      </c>
      <c r="D20" s="10" t="s">
        <v>20</v>
      </c>
      <c r="E20" s="10" t="s">
        <v>15</v>
      </c>
      <c r="F20" s="11">
        <f t="shared" si="0"/>
        <v>76879.36474366019</v>
      </c>
      <c r="G20" s="11">
        <f t="shared" si="1"/>
        <v>111120.63525633981</v>
      </c>
      <c r="H20" s="9"/>
      <c r="I20" s="11"/>
    </row>
    <row r="21" ht="14.25" customHeight="1">
      <c r="A21" s="7">
        <v>45815</v>
      </c>
      <c r="B21" s="8" t="s">
        <v>19</v>
      </c>
      <c r="C21" s="9">
        <v>15935</v>
      </c>
      <c r="D21" s="10" t="s">
        <v>20</v>
      </c>
      <c r="E21" s="10" t="s">
        <v>15</v>
      </c>
      <c r="F21" s="11">
        <f t="shared" si="0"/>
        <v>6516.34402760758</v>
      </c>
      <c r="G21" s="11">
        <f t="shared" si="1"/>
        <v>9418.65597239242</v>
      </c>
      <c r="H21" s="9"/>
      <c r="I21" s="11"/>
    </row>
    <row r="22" ht="14.25" customHeight="1">
      <c r="A22" s="7">
        <v>45815</v>
      </c>
      <c r="B22" s="8" t="s">
        <v>16</v>
      </c>
      <c r="C22" s="9">
        <v>15860</v>
      </c>
      <c r="D22" s="10" t="s">
        <v>14</v>
      </c>
      <c r="E22" s="10" t="s">
        <v>15</v>
      </c>
      <c r="F22" s="11">
        <f t="shared" si="0"/>
        <v>6485.6740682683539</v>
      </c>
      <c r="G22" s="11">
        <f t="shared" si="1"/>
        <v>9374.3259317316461</v>
      </c>
      <c r="H22" s="9" t="s">
        <v>34</v>
      </c>
      <c r="I22" s="11"/>
    </row>
    <row r="23" ht="14.25" customHeight="1">
      <c r="A23" s="7">
        <v>45818</v>
      </c>
      <c r="B23" s="8" t="s">
        <v>35</v>
      </c>
      <c r="C23" s="9">
        <v>8300</v>
      </c>
      <c r="D23" s="10" t="s">
        <v>20</v>
      </c>
      <c r="E23" s="10" t="s">
        <v>15</v>
      </c>
      <c r="F23" s="11">
        <f t="shared" si="0"/>
        <v>3394.1421668743592</v>
      </c>
      <c r="G23" s="11">
        <f t="shared" si="1"/>
        <v>4905.85783312564</v>
      </c>
      <c r="H23" s="9"/>
      <c r="I23" s="11"/>
    </row>
    <row r="24" ht="14.25" customHeight="1">
      <c r="A24" s="7">
        <v>45817</v>
      </c>
      <c r="B24" s="10" t="s">
        <v>16</v>
      </c>
      <c r="C24" s="9">
        <v>23350</v>
      </c>
      <c r="D24" s="10" t="s">
        <v>14</v>
      </c>
      <c r="E24" s="10" t="s">
        <v>15</v>
      </c>
      <c r="F24" s="11">
        <f t="shared" si="0"/>
        <v>9548.5806742790719</v>
      </c>
      <c r="G24" s="11">
        <f t="shared" si="1"/>
        <v>13801.419325720928</v>
      </c>
      <c r="H24" s="9" t="s">
        <v>34</v>
      </c>
      <c r="I24" s="11"/>
    </row>
    <row r="25" ht="14.25" customHeight="1">
      <c r="A25" s="7">
        <v>45819</v>
      </c>
      <c r="B25" s="8" t="s">
        <v>36</v>
      </c>
      <c r="C25" s="9">
        <v>81300</v>
      </c>
      <c r="D25" s="10" t="s">
        <v>20</v>
      </c>
      <c r="E25" s="10" t="s">
        <v>15</v>
      </c>
      <c r="F25" s="11">
        <f t="shared" si="0"/>
        <v>33246.235923721135</v>
      </c>
      <c r="G25" s="11">
        <f t="shared" si="1"/>
        <v>48053.764076278865</v>
      </c>
      <c r="H25" s="9"/>
      <c r="I25" s="11"/>
    </row>
    <row r="26" ht="14.25" customHeight="1">
      <c r="A26" s="7">
        <v>45820</v>
      </c>
      <c r="B26" s="8" t="s">
        <v>27</v>
      </c>
      <c r="C26" s="9">
        <v>253091</v>
      </c>
      <c r="D26" s="10" t="s">
        <v>14</v>
      </c>
      <c r="E26" s="10" t="s">
        <v>15</v>
      </c>
      <c r="F26" s="11">
        <f t="shared" si="0"/>
        <v>103497.20905498776</v>
      </c>
      <c r="G26" s="11">
        <f t="shared" si="1"/>
        <v>149593.79094501224</v>
      </c>
      <c r="H26" s="9"/>
      <c r="I26" s="11"/>
    </row>
    <row r="27" ht="14.25" customHeight="1">
      <c r="A27" s="7">
        <v>45820</v>
      </c>
      <c r="B27" s="8" t="s">
        <v>37</v>
      </c>
      <c r="C27" s="9">
        <v>24999</v>
      </c>
      <c r="D27" s="10" t="s">
        <v>14</v>
      </c>
      <c r="E27" s="10" t="s">
        <v>15</v>
      </c>
      <c r="F27" s="11">
        <f t="shared" si="0"/>
        <v>10222.910846950856</v>
      </c>
      <c r="G27" s="11">
        <f t="shared" si="1"/>
        <v>14776.089153049144</v>
      </c>
      <c r="H27" s="9"/>
      <c r="I27" s="11"/>
    </row>
    <row r="28" ht="14.25" customHeight="1">
      <c r="A28" s="7">
        <v>45821</v>
      </c>
      <c r="B28" s="8" t="s">
        <v>27</v>
      </c>
      <c r="C28" s="9">
        <v>64841.21</v>
      </c>
      <c r="D28" s="10" t="s">
        <v>14</v>
      </c>
      <c r="E28" s="10" t="s">
        <v>15</v>
      </c>
      <c r="F28" s="11">
        <f t="shared" si="0"/>
        <v>26515.696989416308</v>
      </c>
      <c r="G28" s="11">
        <f t="shared" si="1"/>
        <v>38325.513010583687</v>
      </c>
      <c r="H28" s="9"/>
    </row>
    <row r="29" ht="14.25" customHeight="1">
      <c r="A29" s="7">
        <v>45821</v>
      </c>
      <c r="B29" s="8" t="s">
        <v>16</v>
      </c>
      <c r="C29" s="9">
        <v>11577</v>
      </c>
      <c r="D29" s="10" t="s">
        <v>14</v>
      </c>
      <c r="E29" s="10" t="s">
        <v>15</v>
      </c>
      <c r="F29" s="11">
        <f t="shared" si="0"/>
        <v>4734.2149236029463</v>
      </c>
      <c r="G29" s="11">
        <f t="shared" si="1"/>
        <v>6842.7850763970537</v>
      </c>
      <c r="H29" s="9" t="s">
        <v>38</v>
      </c>
    </row>
    <row r="30" ht="14.25" customHeight="1">
      <c r="A30" s="7">
        <v>45822</v>
      </c>
      <c r="B30" s="8" t="s">
        <v>27</v>
      </c>
      <c r="C30" s="9">
        <v>52456</v>
      </c>
      <c r="D30" s="10" t="s">
        <v>14</v>
      </c>
      <c r="E30" s="10" t="s">
        <v>15</v>
      </c>
      <c r="F30" s="11">
        <f t="shared" si="0"/>
        <v>21450.978494645951</v>
      </c>
      <c r="G30" s="11">
        <f t="shared" si="1"/>
        <v>31005.021505354049</v>
      </c>
      <c r="H30" s="9"/>
    </row>
    <row r="31" ht="14.25" customHeight="1">
      <c r="A31" s="7">
        <v>45822</v>
      </c>
      <c r="B31" s="8" t="s">
        <v>36</v>
      </c>
      <c r="C31" s="9">
        <v>1200</v>
      </c>
      <c r="D31" s="10" t="s">
        <v>20</v>
      </c>
      <c r="E31" s="10" t="s">
        <v>15</v>
      </c>
      <c r="F31" s="11">
        <f t="shared" si="0"/>
        <v>490.71934942761823</v>
      </c>
      <c r="G31" s="11">
        <f t="shared" si="1"/>
        <v>709.28065057238177</v>
      </c>
      <c r="H31" s="9"/>
    </row>
    <row r="32" ht="14.25" customHeight="1">
      <c r="A32" s="7">
        <v>45824</v>
      </c>
      <c r="B32" s="8" t="s">
        <v>36</v>
      </c>
      <c r="C32" s="9">
        <v>21960</v>
      </c>
      <c r="D32" s="10" t="s">
        <v>20</v>
      </c>
      <c r="E32" s="10" t="s">
        <v>15</v>
      </c>
      <c r="F32" s="11">
        <f t="shared" si="0"/>
        <v>8980.164094525413</v>
      </c>
      <c r="G32" s="11">
        <f t="shared" si="1"/>
        <v>12979.835905474587</v>
      </c>
      <c r="H32" s="9"/>
    </row>
    <row r="33" ht="14.25" customHeight="1">
      <c r="A33" s="7">
        <v>45824</v>
      </c>
      <c r="B33" s="8" t="s">
        <v>27</v>
      </c>
      <c r="C33" s="9">
        <v>76400</v>
      </c>
      <c r="D33" s="10" t="s">
        <v>20</v>
      </c>
      <c r="E33" s="10" t="s">
        <v>15</v>
      </c>
      <c r="F33" s="11">
        <f t="shared" si="0"/>
        <v>31242.465246891694</v>
      </c>
      <c r="G33" s="11">
        <f t="shared" si="1"/>
        <v>45157.53475310831</v>
      </c>
      <c r="H33" s="9"/>
    </row>
    <row r="34" ht="14.25" customHeight="1">
      <c r="A34" s="7">
        <v>45823</v>
      </c>
      <c r="B34" s="8" t="s">
        <v>16</v>
      </c>
      <c r="C34" s="9">
        <v>17000</v>
      </c>
      <c r="D34" s="10" t="s">
        <v>20</v>
      </c>
      <c r="E34" s="10" t="s">
        <v>15</v>
      </c>
      <c r="F34" s="11">
        <f t="shared" si="0"/>
        <v>6951.857450224591</v>
      </c>
      <c r="G34" s="11">
        <f t="shared" si="1"/>
        <v>10048.142549775408</v>
      </c>
      <c r="H34" s="9"/>
    </row>
    <row r="35" ht="14.25" customHeight="1">
      <c r="A35" s="7">
        <v>45825</v>
      </c>
      <c r="B35" s="8" t="s">
        <v>36</v>
      </c>
      <c r="C35" s="9">
        <v>12662</v>
      </c>
      <c r="D35" s="10" t="s">
        <v>20</v>
      </c>
      <c r="E35" s="10" t="s">
        <v>15</v>
      </c>
      <c r="F35" s="11">
        <f t="shared" si="0"/>
        <v>5177.9070020437512</v>
      </c>
      <c r="G35" s="11">
        <f t="shared" si="1"/>
        <v>7484.0929979562488</v>
      </c>
      <c r="H35" s="9"/>
    </row>
    <row r="36" ht="14.25" customHeight="1">
      <c r="A36" s="7">
        <v>45825</v>
      </c>
      <c r="B36" s="8" t="s">
        <v>19</v>
      </c>
      <c r="C36" s="9">
        <v>28172</v>
      </c>
      <c r="D36" s="10" t="s">
        <v>20</v>
      </c>
      <c r="E36" s="10" t="s">
        <v>15</v>
      </c>
      <c r="F36" s="11">
        <f t="shared" si="0"/>
        <v>11520.454593395716</v>
      </c>
      <c r="G36" s="11">
        <f t="shared" si="1"/>
        <v>16651.545406604284</v>
      </c>
      <c r="H36" s="9"/>
    </row>
    <row r="37" ht="14.25" customHeight="1">
      <c r="A37" s="7">
        <v>45826</v>
      </c>
      <c r="B37" s="8" t="s">
        <v>27</v>
      </c>
      <c r="C37" s="9">
        <v>101072</v>
      </c>
      <c r="D37" s="10" t="s">
        <v>14</v>
      </c>
      <c r="E37" s="10" t="s">
        <v>15</v>
      </c>
      <c r="F37" s="11">
        <f t="shared" si="0"/>
        <v>41331.655071123525</v>
      </c>
      <c r="G37" s="11">
        <f t="shared" si="1"/>
        <v>59740.344928876475</v>
      </c>
      <c r="H37" s="9"/>
    </row>
    <row r="38" ht="14.25" customHeight="1">
      <c r="A38" s="7">
        <v>45827</v>
      </c>
      <c r="B38" s="8" t="s">
        <v>16</v>
      </c>
      <c r="C38" s="9">
        <v>42380</v>
      </c>
      <c r="D38" s="10" t="s">
        <v>14</v>
      </c>
      <c r="E38" s="10" t="s">
        <v>15</v>
      </c>
      <c r="F38" s="11">
        <f t="shared" si="0"/>
        <v>17330.571690618715</v>
      </c>
      <c r="G38" s="11">
        <f t="shared" si="1"/>
        <v>25049.428309381285</v>
      </c>
      <c r="H38" s="9" t="s">
        <v>38</v>
      </c>
    </row>
    <row r="39" ht="14.25" customHeight="1">
      <c r="A39" s="7">
        <v>45827</v>
      </c>
      <c r="B39" s="8" t="s">
        <v>16</v>
      </c>
      <c r="C39" s="9">
        <v>13600</v>
      </c>
      <c r="D39" s="10" t="s">
        <v>14</v>
      </c>
      <c r="E39" s="10" t="s">
        <v>15</v>
      </c>
      <c r="F39" s="11">
        <f t="shared" si="0"/>
        <v>5561.4859601796734</v>
      </c>
      <c r="G39" s="11">
        <f t="shared" si="1"/>
        <v>8038.5140398203266</v>
      </c>
      <c r="H39" s="9" t="s">
        <v>21</v>
      </c>
    </row>
    <row r="40" ht="14.25" customHeight="1">
      <c r="A40" s="7">
        <v>45829</v>
      </c>
      <c r="B40" s="8" t="s">
        <v>27</v>
      </c>
      <c r="C40" s="9">
        <v>19154</v>
      </c>
      <c r="D40" s="10" t="s">
        <v>14</v>
      </c>
      <c r="E40" s="10" t="s">
        <v>15</v>
      </c>
      <c r="F40" s="11">
        <f t="shared" si="0"/>
        <v>7832.698682447166</v>
      </c>
      <c r="G40" s="11">
        <f t="shared" si="1"/>
        <v>11321.301317552834</v>
      </c>
      <c r="H40" s="9"/>
    </row>
    <row r="41" ht="14.25" customHeight="1">
      <c r="A41" s="7">
        <v>45829</v>
      </c>
      <c r="B41" s="8" t="s">
        <v>16</v>
      </c>
      <c r="C41" s="9">
        <v>28800</v>
      </c>
      <c r="D41" s="10" t="s">
        <v>20</v>
      </c>
      <c r="E41" s="10" t="s">
        <v>15</v>
      </c>
      <c r="F41" s="11">
        <f t="shared" si="0"/>
        <v>11777.264386262837</v>
      </c>
      <c r="G41" s="11">
        <f t="shared" si="1"/>
        <v>17022.735613737164</v>
      </c>
      <c r="H41" s="9"/>
    </row>
    <row r="42" ht="14.25" customHeight="1">
      <c r="A42" s="7">
        <v>45829</v>
      </c>
      <c r="B42" s="8" t="s">
        <v>36</v>
      </c>
      <c r="C42" s="9">
        <v>25772</v>
      </c>
      <c r="D42" s="10" t="s">
        <v>20</v>
      </c>
      <c r="E42" s="10" t="s">
        <v>15</v>
      </c>
      <c r="F42" s="11">
        <f t="shared" si="0"/>
        <v>10539.01589454048</v>
      </c>
      <c r="G42" s="11">
        <f t="shared" si="1"/>
        <v>15232.98410545952</v>
      </c>
      <c r="H42" s="9"/>
    </row>
    <row r="43" ht="14.25" customHeight="1">
      <c r="A43" s="7">
        <v>45829</v>
      </c>
      <c r="B43" s="8" t="s">
        <v>16</v>
      </c>
      <c r="C43" s="9">
        <v>28672</v>
      </c>
      <c r="D43" s="10" t="s">
        <v>14</v>
      </c>
      <c r="E43" s="10" t="s">
        <v>15</v>
      </c>
      <c r="F43" s="11">
        <f t="shared" si="0"/>
        <v>11724.920988990558</v>
      </c>
      <c r="G43" s="11">
        <f t="shared" si="1"/>
        <v>16947.079011009442</v>
      </c>
      <c r="H43" s="9"/>
    </row>
    <row r="44" ht="14.25" customHeight="1">
      <c r="A44" s="7">
        <v>45829</v>
      </c>
      <c r="B44" s="8" t="s">
        <v>16</v>
      </c>
      <c r="C44" s="9">
        <v>23680</v>
      </c>
      <c r="D44" s="10" t="s">
        <v>20</v>
      </c>
      <c r="E44" s="10" t="s">
        <v>15</v>
      </c>
      <c r="F44" s="11">
        <f t="shared" si="0"/>
        <v>9683.5284953716655</v>
      </c>
      <c r="G44" s="11">
        <f t="shared" si="1"/>
        <v>13996.471504628335</v>
      </c>
      <c r="H44" s="9" t="s">
        <v>38</v>
      </c>
    </row>
    <row r="45" ht="14.25" customHeight="1">
      <c r="A45" s="7">
        <v>45834</v>
      </c>
      <c r="B45" s="8" t="s">
        <v>27</v>
      </c>
      <c r="C45" s="9">
        <v>100531</v>
      </c>
      <c r="D45" s="10" t="s">
        <v>20</v>
      </c>
      <c r="E45" s="10" t="s">
        <v>15</v>
      </c>
      <c r="F45" s="11">
        <f t="shared" si="0"/>
        <v>41110.422431089908</v>
      </c>
      <c r="G45" s="11">
        <f t="shared" si="1"/>
        <v>59420.577568910092</v>
      </c>
      <c r="H45" s="9"/>
    </row>
    <row r="46" ht="14.25" customHeight="1">
      <c r="A46" s="7">
        <v>45836</v>
      </c>
      <c r="B46" s="8" t="s">
        <v>27</v>
      </c>
      <c r="C46" s="9">
        <v>53559</v>
      </c>
      <c r="D46" s="10" t="s">
        <v>14</v>
      </c>
      <c r="E46" s="10" t="s">
        <v>15</v>
      </c>
      <c r="F46" s="11">
        <f t="shared" si="0"/>
        <v>21902.031363328169</v>
      </c>
      <c r="G46" s="11">
        <f t="shared" si="1"/>
        <v>31656.968636671831</v>
      </c>
      <c r="H46" s="9"/>
    </row>
    <row r="47" ht="14.25" customHeight="1">
      <c r="A47" s="7">
        <v>45836</v>
      </c>
      <c r="B47" s="8" t="s">
        <v>16</v>
      </c>
      <c r="C47" s="9">
        <v>27196</v>
      </c>
      <c r="D47" s="10" t="s">
        <v>20</v>
      </c>
      <c r="E47" s="10" t="s">
        <v>15</v>
      </c>
      <c r="F47" s="11">
        <f t="shared" si="0"/>
        <v>11121.336189194588</v>
      </c>
      <c r="G47" s="11">
        <f t="shared" si="1"/>
        <v>16074.663810805412</v>
      </c>
      <c r="H47" s="9" t="s">
        <v>39</v>
      </c>
    </row>
    <row r="48" ht="14.25" customHeight="1">
      <c r="A48" s="7">
        <v>45836</v>
      </c>
      <c r="B48" s="8" t="s">
        <v>16</v>
      </c>
      <c r="C48" s="9">
        <v>60000</v>
      </c>
      <c r="D48" s="10" t="s">
        <v>20</v>
      </c>
      <c r="E48" s="10" t="s">
        <v>15</v>
      </c>
      <c r="F48" s="11">
        <f t="shared" si="0"/>
        <v>24535.967471380911</v>
      </c>
      <c r="G48" s="11">
        <f t="shared" si="1"/>
        <v>35464.032528619093</v>
      </c>
      <c r="H48" s="9" t="s">
        <v>40</v>
      </c>
    </row>
    <row r="49" ht="14.25" customHeight="1">
      <c r="A49" s="7">
        <v>45836</v>
      </c>
      <c r="B49" s="8" t="s">
        <v>16</v>
      </c>
      <c r="C49" s="9">
        <v>62145</v>
      </c>
      <c r="D49" s="10" t="s">
        <v>14</v>
      </c>
      <c r="E49" s="10" t="s">
        <v>15</v>
      </c>
      <c r="F49" s="11">
        <f t="shared" si="0"/>
        <v>25413.128308482777</v>
      </c>
      <c r="G49" s="11">
        <f t="shared" si="1"/>
        <v>36731.871691517219</v>
      </c>
      <c r="H49" s="9" t="s">
        <v>40</v>
      </c>
    </row>
    <row r="50" ht="14.25" customHeight="1">
      <c r="A50" s="7">
        <v>45836</v>
      </c>
      <c r="B50" s="8" t="s">
        <v>16</v>
      </c>
      <c r="C50" s="9">
        <v>35073</v>
      </c>
      <c r="D50" s="10" t="s">
        <v>14</v>
      </c>
      <c r="E50" s="10" t="s">
        <v>17</v>
      </c>
      <c r="F50" s="11">
        <f t="shared" si="0"/>
        <v>17536.5</v>
      </c>
      <c r="G50" s="11">
        <f t="shared" si="1"/>
        <v>17536.5</v>
      </c>
      <c r="H50" s="9" t="s">
        <v>41</v>
      </c>
    </row>
    <row r="51" ht="14.25" customHeight="1">
      <c r="A51" s="19"/>
    </row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conditionalFormatting sqref="M12:N12">
    <cfRule type="notContainsBlanks" dxfId="44" priority="3">
      <formula>LEN(TRIM(M12))&gt;0</formula>
    </cfRule>
  </conditionalFormatting>
  <dataValidations count="4">
    <dataValidation type="list" allowBlank="1" showErrorMessage="1" sqref="D2 D4:D6 D8:D50" xr:uid="{00000000-0002-0000-0000-000000000000}">
      <formula1>Quien</formula1>
    </dataValidation>
    <dataValidation type="list" allowBlank="1" showErrorMessage="1" sqref="E2 E4:E6 E8:E50" xr:uid="{00000000-0002-0000-0000-000001000000}">
      <formula1>Proporcional</formula1>
    </dataValidation>
    <dataValidation type="list" allowBlank="1" showErrorMessage="1" sqref="B2 B4:B6 B8:B50" xr:uid="{00000000-0002-0000-0000-000002000000}">
      <formula1>Tipo</formula1>
    </dataValidation>
    <dataValidation type="decimal" allowBlank="1" showErrorMessage="1" sqref="C2 C4:C6 C8:C50" xr:uid="{00000000-0002-0000-0000-000003000000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26"/>
  <dimension ref="A1:N100"/>
  <sheetViews>
    <sheetView zoomScale="85" zoomScaleNormal="85" workbookViewId="0">
      <selection activeCell="D65" sqref="D65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bestFit="1" width="16.36328125" customWidth="1"/>
    <col min="11" max="11" width="13.7265625" customWidth="1"/>
    <col min="12" max="12" bestFit="1" width="13.632812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45795</v>
      </c>
      <c r="B2" s="10" t="s">
        <v>16</v>
      </c>
      <c r="C2" s="9">
        <v>50000</v>
      </c>
      <c r="D2" s="10" t="s">
        <v>14</v>
      </c>
      <c r="E2" s="10" t="s">
        <v>15</v>
      </c>
      <c r="F2" s="11">
        <f ref="F2:F100" t="shared" si="0">IF(B2="Consolidación",0,IF(E2="NO",C2*0.5,C2*$K$10))</f>
        <v>20367.665508544887</v>
      </c>
      <c r="G2" s="11">
        <f ref="G2:G100" t="shared" si="1">IF(B2="Consolidación",0,IF(E2="NO",C2*0.5,C2*$K$11))</f>
        <v>29632.334491455116</v>
      </c>
      <c r="H2" s="9" t="s">
        <v>42</v>
      </c>
      <c r="I2" s="11"/>
      <c r="J2" s="12">
        <f>SUM(K2,L2)</f>
        <v>2855041.75</v>
      </c>
      <c r="K2" s="12">
        <f>SUMIF(D2:D100,"Andrea",C2:C100)-SUMIFS(C2:C100,B2:B100,"Consolidación",D2:D100,"Juan")</f>
        <v>1385144.54</v>
      </c>
      <c r="L2" s="12">
        <f>SUMIF(D2:D100,"Juan",C2:C100)-SUMIFS(C2:C100,B2:B100,"Consolidación",D2:D100,"Andrea")</f>
        <v>1469897.21</v>
      </c>
      <c r="M2" s="12">
        <f>SUM(F2:F100)-K2+'Junio-25'!M2</f>
        <v>27810.757147299591</v>
      </c>
      <c r="N2" s="13">
        <f>SUM(G2:G100)-L2+'Junio-25'!N2</f>
        <v>-27810.757147299591</v>
      </c>
    </row>
    <row r="3" ht="14.25" customHeight="1">
      <c r="A3" s="7">
        <v>45839</v>
      </c>
      <c r="B3" s="8" t="s">
        <v>16</v>
      </c>
      <c r="C3" s="9">
        <v>5854</v>
      </c>
      <c r="D3" s="10" t="s">
        <v>14</v>
      </c>
      <c r="E3" s="10" t="s">
        <v>15</v>
      </c>
      <c r="F3" s="11">
        <f t="shared" si="0"/>
        <v>2384.6462777404354</v>
      </c>
      <c r="G3" s="11">
        <f t="shared" si="1"/>
        <v>3469.3537222595646</v>
      </c>
      <c r="H3" s="9" t="s">
        <v>43</v>
      </c>
      <c r="I3" s="11"/>
    </row>
    <row r="4" ht="14.25" customHeight="1">
      <c r="A4" s="7">
        <v>45839</v>
      </c>
      <c r="B4" s="8" t="s">
        <v>16</v>
      </c>
      <c r="C4" s="9">
        <v>50000</v>
      </c>
      <c r="D4" s="10" t="s">
        <v>14</v>
      </c>
      <c r="E4" s="10" t="s">
        <v>15</v>
      </c>
      <c r="F4" s="11">
        <f t="shared" si="0"/>
        <v>20367.665508544887</v>
      </c>
      <c r="G4" s="11">
        <f t="shared" si="1"/>
        <v>29632.334491455116</v>
      </c>
      <c r="H4" s="9" t="s">
        <v>44</v>
      </c>
      <c r="I4" s="11"/>
    </row>
    <row r="5" ht="14.25" customHeight="1">
      <c r="A5" s="7">
        <v>45839</v>
      </c>
      <c r="B5" s="8" t="s">
        <v>16</v>
      </c>
      <c r="C5" s="9">
        <v>51637.11</v>
      </c>
      <c r="D5" s="10" t="s">
        <v>14</v>
      </c>
      <c r="E5" s="10" t="s">
        <v>15</v>
      </c>
      <c r="F5" s="11">
        <f t="shared" si="0"/>
        <v>21034.547686158767</v>
      </c>
      <c r="G5" s="11">
        <f t="shared" si="1"/>
        <v>30602.562313841237</v>
      </c>
      <c r="H5" s="9" t="s">
        <v>45</v>
      </c>
      <c r="I5" s="11"/>
    </row>
    <row r="6" ht="14.25" customHeight="1">
      <c r="A6" s="7">
        <v>45839</v>
      </c>
      <c r="B6" s="8" t="s">
        <v>46</v>
      </c>
      <c r="C6" s="9">
        <v>314347.87</v>
      </c>
      <c r="D6" s="10" t="s">
        <v>20</v>
      </c>
      <c r="E6" s="10" t="s">
        <v>17</v>
      </c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>
        <v>45839</v>
      </c>
      <c r="B7" s="8" t="s">
        <v>13</v>
      </c>
      <c r="C7" s="9">
        <v>81525</v>
      </c>
      <c r="D7" s="10" t="s">
        <v>14</v>
      </c>
      <c r="E7" s="10" t="s">
        <v>15</v>
      </c>
      <c r="F7" s="11">
        <f t="shared" si="0"/>
        <v>33209.47861168244</v>
      </c>
      <c r="G7" s="11">
        <f t="shared" si="1"/>
        <v>48315.521388317567</v>
      </c>
      <c r="H7" s="9" t="s">
        <v>47</v>
      </c>
      <c r="I7" s="11"/>
      <c r="J7" s="10" t="s">
        <v>24</v>
      </c>
      <c r="K7" s="14">
        <v>2668974</v>
      </c>
    </row>
    <row r="8" ht="14.25" customHeight="1">
      <c r="A8" s="7">
        <v>45839</v>
      </c>
      <c r="B8" s="8" t="s">
        <v>13</v>
      </c>
      <c r="C8" s="9">
        <v>23329.98</v>
      </c>
      <c r="D8" s="10" t="s">
        <v>14</v>
      </c>
      <c r="E8" s="10" t="s">
        <v>15</v>
      </c>
      <c r="F8" s="11">
        <f t="shared" si="0"/>
        <v>9503.5445792208411</v>
      </c>
      <c r="G8" s="11">
        <f t="shared" si="1"/>
        <v>13826.43542077916</v>
      </c>
      <c r="H8" s="9" t="s">
        <v>48</v>
      </c>
      <c r="I8" s="11"/>
      <c r="J8" s="10" t="s">
        <v>25</v>
      </c>
      <c r="K8" s="14">
        <v>3883014</v>
      </c>
    </row>
    <row r="9" ht="14.25" customHeight="1">
      <c r="A9" s="7">
        <v>45839</v>
      </c>
      <c r="B9" s="8" t="s">
        <v>49</v>
      </c>
      <c r="C9" s="9">
        <v>57361</v>
      </c>
      <c r="D9" s="10" t="s">
        <v>14</v>
      </c>
      <c r="E9" s="10" t="s">
        <v>15</v>
      </c>
      <c r="F9" s="11">
        <f t="shared" si="0"/>
        <v>23366.193224712868</v>
      </c>
      <c r="G9" s="11">
        <f t="shared" si="1"/>
        <v>33994.806775287136</v>
      </c>
      <c r="H9" s="9"/>
      <c r="I9" s="11"/>
      <c r="J9" s="10" t="s">
        <v>8</v>
      </c>
      <c r="K9" s="14">
        <f>SUM(K7:K8)</f>
        <v>6551988</v>
      </c>
    </row>
    <row r="10" ht="14.25" customHeight="1">
      <c r="A10" s="7">
        <v>45839</v>
      </c>
      <c r="B10" s="8" t="s">
        <v>35</v>
      </c>
      <c r="C10" s="9">
        <v>15297</v>
      </c>
      <c r="D10" s="10" t="s">
        <v>20</v>
      </c>
      <c r="E10" s="10" t="s">
        <v>15</v>
      </c>
      <c r="F10" s="11">
        <f t="shared" si="0"/>
        <v>6231.283585684223</v>
      </c>
      <c r="G10" s="11">
        <f t="shared" si="1"/>
        <v>9065.716414315777</v>
      </c>
      <c r="H10" s="9"/>
      <c r="I10" s="11"/>
      <c r="J10" s="10" t="s">
        <v>28</v>
      </c>
      <c r="K10" s="15">
        <f>K7/K9</f>
        <v>0.40735331017089776</v>
      </c>
    </row>
    <row r="11" ht="14.25" customHeight="1">
      <c r="A11" s="7">
        <v>45839</v>
      </c>
      <c r="B11" s="8" t="s">
        <v>16</v>
      </c>
      <c r="C11" s="9">
        <v>2500</v>
      </c>
      <c r="D11" s="10" t="s">
        <v>20</v>
      </c>
      <c r="E11" s="10" t="s">
        <v>15</v>
      </c>
      <c r="F11" s="11">
        <f t="shared" si="0"/>
        <v>1018.3832754272444</v>
      </c>
      <c r="G11" s="11">
        <f t="shared" si="1"/>
        <v>1481.6167245727556</v>
      </c>
      <c r="H11" s="9" t="s">
        <v>50</v>
      </c>
      <c r="I11" s="11"/>
      <c r="J11" s="10" t="s">
        <v>30</v>
      </c>
      <c r="K11" s="15">
        <f>K8/K9</f>
        <v>0.59264668982910229</v>
      </c>
    </row>
    <row r="12" ht="14.25" customHeight="1">
      <c r="A12" s="7">
        <v>45840</v>
      </c>
      <c r="B12" s="8" t="s">
        <v>51</v>
      </c>
      <c r="C12" s="9">
        <v>270460.04</v>
      </c>
      <c r="D12" s="10" t="s">
        <v>14</v>
      </c>
      <c r="E12" s="10" t="s">
        <v>15</v>
      </c>
      <c r="F12" s="11">
        <f t="shared" si="0"/>
        <v>110172.79256295341</v>
      </c>
      <c r="G12" s="11">
        <f t="shared" si="1"/>
        <v>160287.24743704658</v>
      </c>
      <c r="H12" s="9"/>
      <c r="I12" s="11"/>
    </row>
    <row r="13" ht="14.25" customHeight="1">
      <c r="A13" s="7">
        <v>45840</v>
      </c>
      <c r="B13" s="8" t="s">
        <v>19</v>
      </c>
      <c r="C13" s="9">
        <v>17357</v>
      </c>
      <c r="D13" s="10" t="s">
        <v>14</v>
      </c>
      <c r="E13" s="10" t="s">
        <v>15</v>
      </c>
      <c r="F13" s="11">
        <f t="shared" si="0"/>
        <v>7070.4314046362724</v>
      </c>
      <c r="G13" s="11">
        <f t="shared" si="1"/>
        <v>10286.568595363728</v>
      </c>
      <c r="H13" s="9"/>
      <c r="I13" s="11"/>
    </row>
    <row r="14" ht="14.25" customHeight="1">
      <c r="A14" s="7">
        <v>45840</v>
      </c>
      <c r="B14" s="8" t="s">
        <v>37</v>
      </c>
      <c r="C14" s="9">
        <v>108899.87</v>
      </c>
      <c r="D14" s="10" t="s">
        <v>14</v>
      </c>
      <c r="E14" s="10" t="s">
        <v>15</v>
      </c>
      <c r="F14" s="11">
        <f t="shared" si="0"/>
        <v>44360.722521680444</v>
      </c>
      <c r="G14" s="11">
        <f t="shared" si="1"/>
        <v>64539.147478319559</v>
      </c>
      <c r="H14" s="9"/>
      <c r="I14" s="11"/>
    </row>
    <row r="15" ht="14.25" customHeight="1">
      <c r="A15" s="7">
        <v>45840</v>
      </c>
      <c r="B15" s="8" t="s">
        <v>27</v>
      </c>
      <c r="C15" s="9">
        <v>180121.41</v>
      </c>
      <c r="D15" s="10" t="s">
        <v>14</v>
      </c>
      <c r="E15" s="10" t="s">
        <v>15</v>
      </c>
      <c r="F15" s="11">
        <f t="shared" si="0"/>
        <v>73373.052596149442</v>
      </c>
      <c r="G15" s="11">
        <f t="shared" si="1"/>
        <v>106748.35740385056</v>
      </c>
      <c r="H15" s="9"/>
      <c r="I15" s="11"/>
      <c r="K15" s="16"/>
    </row>
    <row r="16" ht="14.25" customHeight="1">
      <c r="A16" s="7">
        <v>45841</v>
      </c>
      <c r="B16" s="8" t="s">
        <v>16</v>
      </c>
      <c r="C16" s="9">
        <v>15197</v>
      </c>
      <c r="D16" s="10" t="s">
        <v>14</v>
      </c>
      <c r="E16" s="10" t="s">
        <v>15</v>
      </c>
      <c r="F16" s="11">
        <f t="shared" si="0"/>
        <v>6190.5482546671337</v>
      </c>
      <c r="G16" s="11">
        <f t="shared" si="1"/>
        <v>9006.4517453328681</v>
      </c>
      <c r="H16" s="9" t="s">
        <v>21</v>
      </c>
      <c r="I16" s="11"/>
    </row>
    <row r="17" ht="14.25" customHeight="1">
      <c r="A17" s="7">
        <v>45841</v>
      </c>
      <c r="B17" s="8" t="s">
        <v>52</v>
      </c>
      <c r="C17" s="9">
        <v>9971.6</v>
      </c>
      <c r="D17" s="10" t="s">
        <v>14</v>
      </c>
      <c r="E17" s="10" t="s">
        <v>15</v>
      </c>
      <c r="F17" s="11">
        <f t="shared" si="0"/>
        <v>4061.9642677001243</v>
      </c>
      <c r="G17" s="11">
        <f t="shared" si="1"/>
        <v>5909.6357322998765</v>
      </c>
      <c r="H17" s="9"/>
      <c r="I17" s="11"/>
    </row>
    <row r="18" ht="14.25" customHeight="1">
      <c r="A18" s="7">
        <v>45842</v>
      </c>
      <c r="B18" s="8" t="s">
        <v>16</v>
      </c>
      <c r="C18" s="9">
        <v>32500</v>
      </c>
      <c r="D18" s="10" t="s">
        <v>20</v>
      </c>
      <c r="E18" s="10" t="s">
        <v>15</v>
      </c>
      <c r="F18" s="11">
        <f t="shared" si="0"/>
        <v>13238.982580554177</v>
      </c>
      <c r="G18" s="11">
        <f t="shared" si="1"/>
        <v>19261.017419445823</v>
      </c>
      <c r="H18" s="9" t="s">
        <v>53</v>
      </c>
      <c r="I18" s="11"/>
    </row>
    <row r="19" ht="14.25" customHeight="1">
      <c r="A19" s="7">
        <v>45842</v>
      </c>
      <c r="B19" s="8" t="s">
        <v>54</v>
      </c>
      <c r="C19" s="9">
        <v>12500</v>
      </c>
      <c r="D19" s="10" t="s">
        <v>20</v>
      </c>
      <c r="E19" s="10" t="s">
        <v>15</v>
      </c>
      <c r="F19" s="11">
        <f t="shared" si="0"/>
        <v>5091.9163771362219</v>
      </c>
      <c r="G19" s="11">
        <f t="shared" si="1"/>
        <v>7408.0836228637791</v>
      </c>
      <c r="H19" s="9"/>
      <c r="I19" s="11"/>
    </row>
    <row r="20" ht="14.25" customHeight="1">
      <c r="A20" s="7">
        <v>45843</v>
      </c>
      <c r="B20" s="8" t="s">
        <v>16</v>
      </c>
      <c r="C20" s="9">
        <v>42000</v>
      </c>
      <c r="D20" s="10" t="s">
        <v>14</v>
      </c>
      <c r="E20" s="10" t="s">
        <v>15</v>
      </c>
      <c r="F20" s="11">
        <f t="shared" si="0"/>
        <v>17108.839027177706</v>
      </c>
      <c r="G20" s="11">
        <f t="shared" si="1"/>
        <v>24891.160972822297</v>
      </c>
      <c r="H20" s="9" t="s">
        <v>55</v>
      </c>
      <c r="I20" s="11"/>
    </row>
    <row r="21" ht="14.25" customHeight="1">
      <c r="A21" s="7">
        <v>45843</v>
      </c>
      <c r="B21" s="8" t="s">
        <v>16</v>
      </c>
      <c r="C21" s="9">
        <v>8500</v>
      </c>
      <c r="D21" s="10" t="s">
        <v>20</v>
      </c>
      <c r="E21" s="10" t="s">
        <v>15</v>
      </c>
      <c r="F21" s="11">
        <f t="shared" si="0"/>
        <v>3462.5031364526312</v>
      </c>
      <c r="G21" s="11">
        <f t="shared" si="1"/>
        <v>5037.49686354737</v>
      </c>
      <c r="H21" s="9" t="s">
        <v>56</v>
      </c>
      <c r="I21" s="11"/>
    </row>
    <row r="22" ht="14.25" customHeight="1">
      <c r="A22" s="7">
        <v>45843</v>
      </c>
      <c r="B22" s="8" t="s">
        <v>16</v>
      </c>
      <c r="C22" s="9">
        <v>13600</v>
      </c>
      <c r="D22" s="10" t="s">
        <v>20</v>
      </c>
      <c r="E22" s="10" t="s">
        <v>15</v>
      </c>
      <c r="F22" s="11">
        <f t="shared" si="0"/>
        <v>5540.0050183242092</v>
      </c>
      <c r="G22" s="11">
        <f t="shared" si="1"/>
        <v>8059.9949816757908</v>
      </c>
      <c r="H22" s="9" t="s">
        <v>39</v>
      </c>
      <c r="I22" s="11"/>
    </row>
    <row r="23" ht="14.25" customHeight="1">
      <c r="A23" s="7">
        <v>45843</v>
      </c>
      <c r="B23" s="8" t="s">
        <v>16</v>
      </c>
      <c r="C23" s="9">
        <v>31800</v>
      </c>
      <c r="D23" s="10" t="s">
        <v>20</v>
      </c>
      <c r="E23" s="10" t="s">
        <v>15</v>
      </c>
      <c r="F23" s="11">
        <f t="shared" si="0"/>
        <v>12953.835263434548</v>
      </c>
      <c r="G23" s="11">
        <f t="shared" si="1"/>
        <v>18846.164736565453</v>
      </c>
      <c r="H23" s="9" t="s">
        <v>57</v>
      </c>
      <c r="I23" s="11"/>
    </row>
    <row r="24" ht="14.25" customHeight="1">
      <c r="A24" s="7">
        <v>45843</v>
      </c>
      <c r="B24" s="8" t="s">
        <v>16</v>
      </c>
      <c r="C24" s="9">
        <v>68025</v>
      </c>
      <c r="D24" s="10" t="s">
        <v>20</v>
      </c>
      <c r="E24" s="10" t="s">
        <v>15</v>
      </c>
      <c r="F24" s="11">
        <f t="shared" si="0"/>
        <v>27710.208924375322</v>
      </c>
      <c r="G24" s="11">
        <f t="shared" si="1"/>
        <v>40314.791075624686</v>
      </c>
      <c r="H24" s="9" t="s">
        <v>58</v>
      </c>
      <c r="I24" s="11"/>
    </row>
    <row r="25" ht="14.25" customHeight="1">
      <c r="A25" s="7">
        <v>45843</v>
      </c>
      <c r="B25" s="8" t="s">
        <v>16</v>
      </c>
      <c r="C25" s="9">
        <v>30375</v>
      </c>
      <c r="D25" s="10" t="s">
        <v>20</v>
      </c>
      <c r="E25" s="10" t="s">
        <v>15</v>
      </c>
      <c r="F25" s="11">
        <f t="shared" si="0"/>
        <v>12373.356796441019</v>
      </c>
      <c r="G25" s="11">
        <f t="shared" si="1"/>
        <v>18001.643203558982</v>
      </c>
      <c r="H25" s="9" t="s">
        <v>59</v>
      </c>
      <c r="I25" s="11"/>
    </row>
    <row r="26" ht="14.25" customHeight="1">
      <c r="A26" s="7">
        <v>45846</v>
      </c>
      <c r="B26" s="8" t="s">
        <v>16</v>
      </c>
      <c r="C26" s="9">
        <v>10600</v>
      </c>
      <c r="D26" s="10" t="s">
        <v>14</v>
      </c>
      <c r="E26" s="10" t="s">
        <v>15</v>
      </c>
      <c r="F26" s="11">
        <f t="shared" si="0"/>
        <v>4317.9450878115167</v>
      </c>
      <c r="G26" s="11">
        <f t="shared" si="1"/>
        <v>6282.0549121884842</v>
      </c>
      <c r="H26" s="9" t="s">
        <v>60</v>
      </c>
      <c r="I26" s="11"/>
    </row>
    <row r="27" ht="14.25" customHeight="1">
      <c r="A27" s="7">
        <v>45846</v>
      </c>
      <c r="B27" s="8" t="s">
        <v>61</v>
      </c>
      <c r="C27" s="9">
        <v>12787</v>
      </c>
      <c r="D27" s="10" t="s">
        <v>14</v>
      </c>
      <c r="E27" s="10" t="s">
        <v>15</v>
      </c>
      <c r="F27" s="11">
        <f t="shared" si="0"/>
        <v>5208.82677715527</v>
      </c>
      <c r="G27" s="11">
        <f t="shared" si="1"/>
        <v>7578.1732228447308</v>
      </c>
      <c r="H27" s="9"/>
      <c r="I27" s="11"/>
    </row>
    <row r="28" ht="14.25" customHeight="1">
      <c r="A28" s="7">
        <v>45846</v>
      </c>
      <c r="B28" s="8" t="s">
        <v>62</v>
      </c>
      <c r="C28" s="9">
        <v>7715.5</v>
      </c>
      <c r="D28" s="10" t="s">
        <v>14</v>
      </c>
      <c r="E28" s="10" t="s">
        <v>15</v>
      </c>
      <c r="F28" s="11">
        <f t="shared" si="0"/>
        <v>3142.9344646235618</v>
      </c>
      <c r="G28" s="11">
        <f t="shared" si="1"/>
        <v>4572.5655353764387</v>
      </c>
      <c r="H28" s="9"/>
    </row>
    <row r="29" ht="14.25" customHeight="1">
      <c r="A29" s="7">
        <v>45847</v>
      </c>
      <c r="B29" s="8" t="s">
        <v>63</v>
      </c>
      <c r="C29" s="9">
        <v>56000</v>
      </c>
      <c r="D29" s="10" t="s">
        <v>20</v>
      </c>
      <c r="E29" s="10" t="s">
        <v>15</v>
      </c>
      <c r="F29" s="11">
        <f t="shared" si="0"/>
        <v>22811.785369570276</v>
      </c>
      <c r="G29" s="11">
        <f t="shared" si="1"/>
        <v>33188.214630429728</v>
      </c>
      <c r="H29" s="9"/>
    </row>
    <row r="30" ht="14.25" customHeight="1">
      <c r="A30" s="7">
        <v>45847</v>
      </c>
      <c r="B30" s="8" t="s">
        <v>16</v>
      </c>
      <c r="C30" s="9">
        <v>9600</v>
      </c>
      <c r="D30" s="10" t="s">
        <v>20</v>
      </c>
      <c r="E30" s="10" t="s">
        <v>15</v>
      </c>
      <c r="F30" s="11">
        <f t="shared" si="0"/>
        <v>3910.5917776406186</v>
      </c>
      <c r="G30" s="11">
        <f t="shared" si="1"/>
        <v>5689.4082223593823</v>
      </c>
      <c r="H30" s="9" t="s">
        <v>64</v>
      </c>
    </row>
    <row r="31" ht="14.25" customHeight="1">
      <c r="A31" s="7">
        <v>45847</v>
      </c>
      <c r="B31" s="8" t="s">
        <v>27</v>
      </c>
      <c r="C31" s="9">
        <v>94000</v>
      </c>
      <c r="D31" s="10" t="s">
        <v>14</v>
      </c>
      <c r="E31" s="10" t="s">
        <v>15</v>
      </c>
      <c r="F31" s="11">
        <f t="shared" si="0"/>
        <v>38291.21115606439</v>
      </c>
      <c r="G31" s="11">
        <f t="shared" si="1"/>
        <v>55708.788843935617</v>
      </c>
      <c r="H31" s="9"/>
    </row>
    <row r="32" ht="14.25" customHeight="1">
      <c r="A32" s="7">
        <v>45850</v>
      </c>
      <c r="B32" s="8" t="s">
        <v>16</v>
      </c>
      <c r="C32" s="9">
        <v>18600</v>
      </c>
      <c r="D32" s="10" t="s">
        <v>20</v>
      </c>
      <c r="E32" s="10" t="s">
        <v>15</v>
      </c>
      <c r="F32" s="11">
        <f t="shared" si="0"/>
        <v>7576.771569178698</v>
      </c>
      <c r="G32" s="11">
        <f t="shared" si="1"/>
        <v>11023.228430821302</v>
      </c>
      <c r="H32" s="9" t="s">
        <v>65</v>
      </c>
    </row>
    <row r="33" ht="14.25" customHeight="1">
      <c r="A33" s="7">
        <v>45849</v>
      </c>
      <c r="B33" s="8" t="s">
        <v>61</v>
      </c>
      <c r="C33" s="9">
        <v>38700</v>
      </c>
      <c r="D33" s="10" t="s">
        <v>14</v>
      </c>
      <c r="E33" s="10" t="s">
        <v>15</v>
      </c>
      <c r="F33" s="11">
        <f t="shared" si="0"/>
        <v>15764.573103613744</v>
      </c>
      <c r="G33" s="11">
        <f t="shared" si="1"/>
        <v>22935.42689638626</v>
      </c>
      <c r="H33" s="9"/>
    </row>
    <row r="34" ht="14.25" customHeight="1">
      <c r="A34" s="7">
        <v>45850</v>
      </c>
      <c r="B34" s="8" t="s">
        <v>61</v>
      </c>
      <c r="C34" s="9">
        <v>55725</v>
      </c>
      <c r="D34" s="10" t="s">
        <v>20</v>
      </c>
      <c r="E34" s="10" t="s">
        <v>15</v>
      </c>
      <c r="F34" s="11">
        <f t="shared" si="0"/>
        <v>22699.763209273278</v>
      </c>
      <c r="G34" s="11">
        <f t="shared" si="1"/>
        <v>33025.236790726725</v>
      </c>
      <c r="H34" s="9"/>
    </row>
    <row r="35" ht="14.25" customHeight="1">
      <c r="A35" s="7">
        <v>45850</v>
      </c>
      <c r="B35" s="8" t="s">
        <v>61</v>
      </c>
      <c r="C35" s="9">
        <v>10307.5</v>
      </c>
      <c r="D35" s="10" t="s">
        <v>20</v>
      </c>
      <c r="E35" s="10" t="s">
        <v>15</v>
      </c>
      <c r="F35" s="11">
        <f t="shared" si="0"/>
        <v>4198.7942445865283</v>
      </c>
      <c r="G35" s="11">
        <f t="shared" si="1"/>
        <v>6108.7057554134717</v>
      </c>
      <c r="H35" s="9"/>
    </row>
    <row r="36" ht="14.25" customHeight="1">
      <c r="A36" s="7">
        <v>45850</v>
      </c>
      <c r="B36" s="8" t="s">
        <v>66</v>
      </c>
      <c r="C36" s="9">
        <v>29160</v>
      </c>
      <c r="D36" s="10" t="s">
        <v>14</v>
      </c>
      <c r="E36" s="10" t="s">
        <v>15</v>
      </c>
      <c r="F36" s="11">
        <f t="shared" si="0"/>
        <v>11878.422524583379</v>
      </c>
      <c r="G36" s="11">
        <f t="shared" si="1"/>
        <v>17281.577475416623</v>
      </c>
      <c r="H36" s="9"/>
    </row>
    <row r="37" ht="14.25" customHeight="1">
      <c r="A37" s="7">
        <v>45851</v>
      </c>
      <c r="B37" s="8" t="s">
        <v>16</v>
      </c>
      <c r="C37" s="9">
        <v>31090</v>
      </c>
      <c r="D37" s="10" t="s">
        <v>20</v>
      </c>
      <c r="E37" s="10" t="s">
        <v>15</v>
      </c>
      <c r="F37" s="11">
        <f t="shared" si="0"/>
        <v>12664.614413213212</v>
      </c>
      <c r="G37" s="11">
        <f t="shared" si="1"/>
        <v>18425.38558678679</v>
      </c>
      <c r="H37" s="9" t="s">
        <v>67</v>
      </c>
    </row>
    <row r="38" ht="14.25" customHeight="1">
      <c r="A38" s="7">
        <v>45853</v>
      </c>
      <c r="B38" s="8" t="s">
        <v>19</v>
      </c>
      <c r="C38" s="9">
        <v>27764.87</v>
      </c>
      <c r="D38" s="10" t="s">
        <v>20</v>
      </c>
      <c r="E38" s="10" t="s">
        <v>15</v>
      </c>
      <c r="F38" s="11">
        <f t="shared" si="0"/>
        <v>11310.111700964653</v>
      </c>
      <c r="G38" s="11">
        <f t="shared" si="1"/>
        <v>16454.758299035348</v>
      </c>
      <c r="H38" s="9"/>
    </row>
    <row r="39" ht="14.25" customHeight="1">
      <c r="A39" s="7">
        <v>45854</v>
      </c>
      <c r="B39" s="8" t="s">
        <v>37</v>
      </c>
      <c r="C39" s="9">
        <v>118160</v>
      </c>
      <c r="D39" s="10" t="s">
        <v>14</v>
      </c>
      <c r="E39" s="10" t="s">
        <v>15</v>
      </c>
      <c r="F39" s="11">
        <f t="shared" si="0"/>
        <v>48132.867129793281</v>
      </c>
      <c r="G39" s="11">
        <f t="shared" si="1"/>
        <v>70027.132870206726</v>
      </c>
      <c r="H39" s="9"/>
    </row>
    <row r="40" ht="14.25" customHeight="1">
      <c r="A40" s="7">
        <v>45854</v>
      </c>
      <c r="B40" s="8" t="s">
        <v>68</v>
      </c>
      <c r="C40" s="9">
        <v>27943.9</v>
      </c>
      <c r="D40" s="10" t="s">
        <v>14</v>
      </c>
      <c r="E40" s="10" t="s">
        <v>15</v>
      </c>
      <c r="F40" s="11">
        <f t="shared" si="0"/>
        <v>11383.04016408455</v>
      </c>
      <c r="G40" s="11">
        <f t="shared" si="1"/>
        <v>16560.859835915453</v>
      </c>
      <c r="H40" s="9"/>
    </row>
    <row r="41" ht="14.25" customHeight="1">
      <c r="A41" s="7">
        <v>45855</v>
      </c>
      <c r="B41" s="8" t="s">
        <v>27</v>
      </c>
      <c r="C41" s="9">
        <v>170376.3</v>
      </c>
      <c r="D41" s="10" t="s">
        <v>20</v>
      </c>
      <c r="E41" s="10" t="s">
        <v>15</v>
      </c>
      <c r="F41" s="11">
        <f t="shared" si="0"/>
        <v>69403.349779669923</v>
      </c>
      <c r="G41" s="11">
        <f t="shared" si="1"/>
        <v>100972.95022033008</v>
      </c>
      <c r="H41" s="9"/>
    </row>
    <row r="42" ht="14.25" customHeight="1">
      <c r="A42" s="7">
        <v>45855</v>
      </c>
      <c r="B42" s="8" t="s">
        <v>61</v>
      </c>
      <c r="C42" s="9">
        <v>26388</v>
      </c>
      <c r="D42" s="10" t="s">
        <v>14</v>
      </c>
      <c r="E42" s="10" t="s">
        <v>15</v>
      </c>
      <c r="F42" s="11">
        <f t="shared" si="0"/>
        <v>10749.239148789649</v>
      </c>
      <c r="G42" s="11">
        <f t="shared" si="1"/>
        <v>15638.760851210351</v>
      </c>
      <c r="H42" s="9"/>
    </row>
    <row r="43" ht="14.25" customHeight="1">
      <c r="A43" s="7">
        <v>45857</v>
      </c>
      <c r="B43" s="8" t="s">
        <v>16</v>
      </c>
      <c r="C43" s="9">
        <v>49000</v>
      </c>
      <c r="D43" s="10" t="s">
        <v>14</v>
      </c>
      <c r="E43" s="10" t="s">
        <v>15</v>
      </c>
      <c r="F43" s="11">
        <f t="shared" si="0"/>
        <v>19960.312198373991</v>
      </c>
      <c r="G43" s="11">
        <f t="shared" si="1"/>
        <v>29039.687801626013</v>
      </c>
      <c r="H43" s="9" t="s">
        <v>69</v>
      </c>
    </row>
    <row r="44" ht="14.25" customHeight="1">
      <c r="A44" s="7">
        <v>45856</v>
      </c>
      <c r="B44" s="8" t="s">
        <v>61</v>
      </c>
      <c r="C44" s="9">
        <v>23790</v>
      </c>
      <c r="D44" s="10" t="s">
        <v>14</v>
      </c>
      <c r="E44" s="10" t="s">
        <v>15</v>
      </c>
      <c r="F44" s="11">
        <f t="shared" si="0"/>
        <v>9690.9352489656576</v>
      </c>
      <c r="G44" s="11">
        <f t="shared" si="1"/>
        <v>14099.064751034344</v>
      </c>
      <c r="H44" s="9"/>
    </row>
    <row r="45" ht="14.25" customHeight="1">
      <c r="A45" s="7">
        <v>45857</v>
      </c>
      <c r="B45" s="8" t="s">
        <v>16</v>
      </c>
      <c r="C45" s="9">
        <v>68400</v>
      </c>
      <c r="D45" s="10" t="s">
        <v>20</v>
      </c>
      <c r="E45" s="10" t="s">
        <v>15</v>
      </c>
      <c r="F45" s="11">
        <f t="shared" si="0"/>
        <v>27862.966415689407</v>
      </c>
      <c r="G45" s="11">
        <f t="shared" si="1"/>
        <v>40537.033584310593</v>
      </c>
      <c r="H45" s="9" t="s">
        <v>70</v>
      </c>
    </row>
    <row r="46" ht="14.25" customHeight="1">
      <c r="A46" s="7">
        <v>45857</v>
      </c>
      <c r="B46" s="8" t="s">
        <v>13</v>
      </c>
      <c r="C46" s="9">
        <v>55700</v>
      </c>
      <c r="D46" s="10" t="s">
        <v>20</v>
      </c>
      <c r="E46" s="10" t="s">
        <v>15</v>
      </c>
      <c r="F46" s="11">
        <f t="shared" si="0"/>
        <v>22689.579376519006</v>
      </c>
      <c r="G46" s="11">
        <f t="shared" si="1"/>
        <v>33010.420623481</v>
      </c>
      <c r="H46" s="9" t="s">
        <v>60</v>
      </c>
    </row>
    <row r="47" ht="14.25" customHeight="1">
      <c r="A47" s="7">
        <v>45857</v>
      </c>
      <c r="B47" s="8" t="s">
        <v>16</v>
      </c>
      <c r="C47" s="9">
        <v>15000</v>
      </c>
      <c r="D47" s="10" t="s">
        <v>14</v>
      </c>
      <c r="E47" s="10" t="s">
        <v>15</v>
      </c>
      <c r="F47" s="11">
        <f t="shared" si="0"/>
        <v>6110.2996525634662</v>
      </c>
      <c r="G47" s="11">
        <f t="shared" si="1"/>
        <v>8889.7003474365338</v>
      </c>
      <c r="H47" s="9" t="s">
        <v>71</v>
      </c>
    </row>
    <row r="48" ht="14.25" customHeight="1">
      <c r="A48" s="7">
        <v>45857</v>
      </c>
      <c r="B48" s="8" t="s">
        <v>61</v>
      </c>
      <c r="C48" s="9">
        <v>21529</v>
      </c>
      <c r="D48" s="10" t="s">
        <v>14</v>
      </c>
      <c r="E48" s="10" t="s">
        <v>15</v>
      </c>
      <c r="F48" s="11">
        <f t="shared" si="0"/>
        <v>8769.9094146692587</v>
      </c>
      <c r="G48" s="11">
        <f t="shared" si="1"/>
        <v>12759.090585330743</v>
      </c>
      <c r="H48" s="9"/>
    </row>
    <row r="49" ht="14.25" customHeight="1">
      <c r="A49" s="7">
        <v>45857</v>
      </c>
      <c r="B49" s="8" t="s">
        <v>16</v>
      </c>
      <c r="C49" s="9">
        <v>14400</v>
      </c>
      <c r="D49" s="10" t="s">
        <v>20</v>
      </c>
      <c r="E49" s="10" t="s">
        <v>15</v>
      </c>
      <c r="F49" s="11">
        <f t="shared" si="0"/>
        <v>5865.8876664609279</v>
      </c>
      <c r="G49" s="11">
        <f t="shared" si="1"/>
        <v>8534.112333539073</v>
      </c>
      <c r="H49" s="9" t="s">
        <v>39</v>
      </c>
    </row>
    <row r="50" ht="14.25" customHeight="1">
      <c r="A50" s="7">
        <v>45860</v>
      </c>
      <c r="B50" s="8" t="s">
        <v>27</v>
      </c>
      <c r="C50" s="9">
        <v>126044.37</v>
      </c>
      <c r="D50" s="10" t="s">
        <v>14</v>
      </c>
      <c r="E50" s="10" t="s">
        <v>15</v>
      </c>
      <c r="F50" s="11">
        <f t="shared" si="0"/>
        <v>51344.5913479054</v>
      </c>
      <c r="G50" s="11">
        <f t="shared" si="1"/>
        <v>74699.77865209461</v>
      </c>
      <c r="H50" s="9"/>
    </row>
    <row r="51" ht="14.25" customHeight="1">
      <c r="A51" s="7">
        <v>45859</v>
      </c>
      <c r="B51" s="8" t="s">
        <v>16</v>
      </c>
      <c r="C51" s="9">
        <v>14000</v>
      </c>
      <c r="D51" s="10" t="s">
        <v>20</v>
      </c>
      <c r="E51" s="10" t="s">
        <v>15</v>
      </c>
      <c r="F51" s="11">
        <f t="shared" si="0"/>
        <v>5702.946342392569</v>
      </c>
      <c r="G51" s="11">
        <f t="shared" si="1"/>
        <v>8297.0536576074319</v>
      </c>
      <c r="H51" s="9" t="s">
        <v>72</v>
      </c>
    </row>
    <row r="52" ht="14.25" customHeight="1">
      <c r="A52" s="7">
        <v>45860</v>
      </c>
      <c r="B52" s="8" t="s">
        <v>16</v>
      </c>
      <c r="C52" s="9">
        <v>160000</v>
      </c>
      <c r="D52" s="10" t="s">
        <v>20</v>
      </c>
      <c r="E52" s="10" t="s">
        <v>15</v>
      </c>
      <c r="F52" s="11">
        <f t="shared" si="0"/>
        <v>65176.52962734364</v>
      </c>
      <c r="G52" s="11">
        <f t="shared" si="1"/>
        <v>94823.47037265636</v>
      </c>
      <c r="H52" s="9" t="s">
        <v>73</v>
      </c>
    </row>
    <row r="53" ht="14.25" customHeight="1">
      <c r="A53" s="7">
        <v>45860</v>
      </c>
      <c r="B53" s="8" t="s">
        <v>16</v>
      </c>
      <c r="C53" s="9">
        <v>13000</v>
      </c>
      <c r="D53" s="10" t="s">
        <v>20</v>
      </c>
      <c r="E53" s="10" t="s">
        <v>15</v>
      </c>
      <c r="F53" s="11">
        <f t="shared" si="0"/>
        <v>5295.5930322216709</v>
      </c>
      <c r="G53" s="11">
        <f t="shared" si="1"/>
        <v>7704.40696777833</v>
      </c>
      <c r="H53" s="9" t="s">
        <v>74</v>
      </c>
    </row>
    <row r="54" ht="14.25" customHeight="1">
      <c r="A54" s="7">
        <v>45862</v>
      </c>
      <c r="B54" s="8" t="s">
        <v>16</v>
      </c>
      <c r="C54" s="9">
        <v>10000</v>
      </c>
      <c r="D54" s="10" t="s">
        <v>20</v>
      </c>
      <c r="E54" s="10" t="s">
        <v>15</v>
      </c>
      <c r="F54" s="11">
        <f t="shared" si="0"/>
        <v>4073.5331017089775</v>
      </c>
      <c r="G54" s="11">
        <f t="shared" si="1"/>
        <v>5926.4668982910225</v>
      </c>
      <c r="H54" s="9" t="s">
        <v>75</v>
      </c>
    </row>
    <row r="55" ht="14.25" customHeight="1">
      <c r="A55" s="7">
        <v>45863</v>
      </c>
      <c r="B55" s="8" t="s">
        <v>19</v>
      </c>
      <c r="C55" s="9">
        <v>10582</v>
      </c>
      <c r="D55" s="10" t="s">
        <v>20</v>
      </c>
      <c r="E55" s="10" t="s">
        <v>15</v>
      </c>
      <c r="F55" s="11">
        <f t="shared" si="0"/>
        <v>4310.6127282284406</v>
      </c>
      <c r="G55" s="11">
        <f t="shared" si="1"/>
        <v>6271.38727177156</v>
      </c>
      <c r="H55" s="9"/>
    </row>
    <row r="56" ht="14.25" customHeight="1">
      <c r="A56" s="7">
        <v>45864</v>
      </c>
      <c r="B56" s="8" t="s">
        <v>36</v>
      </c>
      <c r="C56" s="9">
        <v>37400</v>
      </c>
      <c r="D56" s="10" t="s">
        <v>14</v>
      </c>
      <c r="E56" s="10" t="s">
        <v>15</v>
      </c>
      <c r="F56" s="11">
        <f t="shared" si="0"/>
        <v>15235.013800391576</v>
      </c>
      <c r="G56" s="11">
        <f t="shared" si="1"/>
        <v>22164.986199608426</v>
      </c>
      <c r="H56" s="9"/>
    </row>
    <row r="57" ht="14.25" customHeight="1">
      <c r="A57" s="7">
        <v>45864</v>
      </c>
      <c r="B57" s="8" t="s">
        <v>16</v>
      </c>
      <c r="C57" s="9">
        <v>60000</v>
      </c>
      <c r="D57" s="10" t="s">
        <v>20</v>
      </c>
      <c r="E57" s="10" t="s">
        <v>15</v>
      </c>
      <c r="F57" s="11">
        <f t="shared" si="0"/>
        <v>24441.198610253865</v>
      </c>
      <c r="G57" s="11">
        <f t="shared" si="1"/>
        <v>35558.801389746135</v>
      </c>
      <c r="H57" s="9" t="s">
        <v>76</v>
      </c>
    </row>
    <row r="58" ht="14.25" customHeight="1">
      <c r="A58" s="7">
        <v>45864</v>
      </c>
      <c r="B58" s="8" t="s">
        <v>16</v>
      </c>
      <c r="C58" s="9">
        <v>10000</v>
      </c>
      <c r="D58" s="10" t="s">
        <v>20</v>
      </c>
      <c r="E58" s="10" t="s">
        <v>15</v>
      </c>
      <c r="F58" s="11">
        <f t="shared" si="0"/>
        <v>4073.5331017089775</v>
      </c>
      <c r="G58" s="11">
        <f t="shared" si="1"/>
        <v>5926.4668982910225</v>
      </c>
      <c r="H58" s="9" t="s">
        <v>77</v>
      </c>
    </row>
    <row r="59" ht="14.25" customHeight="1">
      <c r="A59" s="7">
        <v>45857</v>
      </c>
      <c r="B59" s="8" t="s">
        <v>16</v>
      </c>
      <c r="C59" s="9">
        <v>55166</v>
      </c>
      <c r="D59" s="10" t="s">
        <v>14</v>
      </c>
      <c r="E59" s="10" t="s">
        <v>15</v>
      </c>
      <c r="F59" s="11">
        <f t="shared" si="0"/>
        <v>22472.052708887746</v>
      </c>
      <c r="G59" s="11">
        <f t="shared" si="1"/>
        <v>32693.947291112258</v>
      </c>
      <c r="H59" s="9" t="s">
        <v>78</v>
      </c>
    </row>
    <row r="60" ht="14.25" customHeight="1">
      <c r="A60" s="7">
        <v>45861</v>
      </c>
      <c r="B60" s="8" t="s">
        <v>16</v>
      </c>
      <c r="C60" s="9">
        <v>11539</v>
      </c>
      <c r="D60" s="10" t="s">
        <v>14</v>
      </c>
      <c r="E60" s="10" t="s">
        <v>15</v>
      </c>
      <c r="F60" s="11">
        <f t="shared" si="0"/>
        <v>4700.4498460619889</v>
      </c>
      <c r="G60" s="11">
        <f t="shared" si="1"/>
        <v>6838.5501539380111</v>
      </c>
      <c r="H60" s="9" t="s">
        <v>60</v>
      </c>
    </row>
    <row r="61" ht="14.25" customHeight="1">
      <c r="A61" s="7">
        <v>45863</v>
      </c>
      <c r="B61" s="8" t="s">
        <v>61</v>
      </c>
      <c r="C61" s="9">
        <v>38135</v>
      </c>
      <c r="D61" s="10" t="s">
        <v>14</v>
      </c>
      <c r="E61" s="10" t="s">
        <v>15</v>
      </c>
      <c r="F61" s="11">
        <f t="shared" si="0"/>
        <v>15534.418483367186</v>
      </c>
      <c r="G61" s="11">
        <f t="shared" si="1"/>
        <v>22600.581516632818</v>
      </c>
      <c r="H61" s="9"/>
    </row>
    <row r="62" ht="14.25" customHeight="1">
      <c r="A62" s="7">
        <v>45863</v>
      </c>
      <c r="B62" s="8" t="s">
        <v>37</v>
      </c>
      <c r="C62" s="9">
        <v>26600</v>
      </c>
      <c r="D62" s="10" t="s">
        <v>14</v>
      </c>
      <c r="E62" s="10" t="s">
        <v>15</v>
      </c>
      <c r="F62" s="11">
        <f t="shared" si="0"/>
        <v>10835.598050545881</v>
      </c>
      <c r="G62" s="11">
        <f t="shared" si="1"/>
        <v>15764.401949454121</v>
      </c>
      <c r="H62" s="9"/>
    </row>
    <row r="63" ht="14.25" customHeight="1">
      <c r="A63" s="7">
        <v>45864</v>
      </c>
      <c r="B63" s="8" t="s">
        <v>61</v>
      </c>
      <c r="C63" s="9">
        <v>44154</v>
      </c>
      <c r="D63" s="10" t="s">
        <v>20</v>
      </c>
      <c r="E63" s="10" t="s">
        <v>15</v>
      </c>
      <c r="F63" s="11">
        <f t="shared" si="0"/>
        <v>17986.278057285821</v>
      </c>
      <c r="G63" s="11">
        <f t="shared" si="1"/>
        <v>26167.721942714183</v>
      </c>
      <c r="H63" s="9"/>
    </row>
    <row r="64" ht="14.25" customHeight="1">
      <c r="A64" s="7">
        <v>45869</v>
      </c>
      <c r="B64" s="8" t="s">
        <v>16</v>
      </c>
      <c r="C64" s="9">
        <v>26000</v>
      </c>
      <c r="D64" s="10" t="s">
        <v>14</v>
      </c>
      <c r="E64" s="10" t="s">
        <v>15</v>
      </c>
      <c r="F64" s="11">
        <f t="shared" si="0"/>
        <v>10591.186064443342</v>
      </c>
      <c r="G64" s="11">
        <f t="shared" si="1"/>
        <v>15408.81393555666</v>
      </c>
      <c r="H64" s="9" t="s">
        <v>60</v>
      </c>
    </row>
    <row r="65" ht="14.25" customHeight="1">
      <c r="A65" s="7">
        <v>45869</v>
      </c>
      <c r="B65" s="8" t="s">
        <v>61</v>
      </c>
      <c r="C65" s="9">
        <v>24873.3</v>
      </c>
      <c r="D65" s="10" t="s">
        <v>14</v>
      </c>
      <c r="E65" s="10" t="s">
        <v>15</v>
      </c>
      <c r="F65" s="11">
        <f t="shared" si="0"/>
        <v>10132.22108987379</v>
      </c>
      <c r="G65" s="11">
        <f t="shared" si="1"/>
        <v>14741.078910126209</v>
      </c>
      <c r="H65" s="9"/>
    </row>
    <row r="66" ht="14.25" customHeight="1">
      <c r="A66" s="7">
        <v>45869</v>
      </c>
      <c r="B66" s="8" t="s">
        <v>79</v>
      </c>
      <c r="C66" s="9">
        <v>16000</v>
      </c>
      <c r="D66" s="10" t="s">
        <v>20</v>
      </c>
      <c r="E66" s="10" t="s">
        <v>15</v>
      </c>
      <c r="F66" s="11">
        <f t="shared" si="0"/>
        <v>6517.6529627343643</v>
      </c>
      <c r="G66" s="11">
        <f t="shared" si="1"/>
        <v>9482.3470372656375</v>
      </c>
      <c r="H66" s="9"/>
    </row>
    <row r="67" ht="14.25" customHeight="1">
      <c r="A67" s="7"/>
      <c r="B67" s="8"/>
      <c r="C67" s="9"/>
      <c r="D67" s="10"/>
      <c r="E67" s="10"/>
      <c r="F67" s="11">
        <f t="shared" si="0"/>
        <v>0</v>
      </c>
      <c r="G67" s="11">
        <f t="shared" si="1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0"/>
        <v>0</v>
      </c>
      <c r="G68" s="11">
        <f t="shared" si="1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0"/>
        <v>0</v>
      </c>
      <c r="G69" s="11">
        <f t="shared" si="1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0"/>
        <v>0</v>
      </c>
      <c r="G70" s="11">
        <f t="shared" si="1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0"/>
        <v>0</v>
      </c>
      <c r="G71" s="11">
        <f t="shared" si="1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0"/>
        <v>0</v>
      </c>
      <c r="G72" s="11">
        <f t="shared" si="1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0"/>
        <v>0</v>
      </c>
      <c r="G73" s="11">
        <f t="shared" si="1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0"/>
        <v>0</v>
      </c>
      <c r="G74" s="11">
        <f t="shared" si="1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0"/>
        <v>0</v>
      </c>
      <c r="G75" s="11">
        <f t="shared" si="1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0"/>
        <v>0</v>
      </c>
      <c r="G76" s="11">
        <f t="shared" si="1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0"/>
        <v>0</v>
      </c>
      <c r="G77" s="11">
        <f t="shared" si="1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0"/>
        <v>0</v>
      </c>
      <c r="G78" s="11">
        <f t="shared" si="1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0"/>
        <v>0</v>
      </c>
      <c r="G79" s="11">
        <f t="shared" si="1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0"/>
        <v>0</v>
      </c>
      <c r="G80" s="11">
        <f t="shared" si="1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0"/>
        <v>0</v>
      </c>
      <c r="G81" s="11">
        <f t="shared" si="1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0"/>
        <v>0</v>
      </c>
      <c r="G82" s="11">
        <f t="shared" si="1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0"/>
        <v>0</v>
      </c>
      <c r="G83" s="11">
        <f t="shared" si="1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0"/>
        <v>0</v>
      </c>
      <c r="G84" s="11">
        <f t="shared" si="1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0"/>
        <v>0</v>
      </c>
      <c r="G85" s="11">
        <f t="shared" si="1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0"/>
        <v>0</v>
      </c>
      <c r="G86" s="11">
        <f t="shared" si="1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0"/>
        <v>0</v>
      </c>
      <c r="G87" s="11">
        <f t="shared" si="1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0"/>
        <v>0</v>
      </c>
      <c r="G88" s="11">
        <f t="shared" si="1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0"/>
        <v>0</v>
      </c>
      <c r="G89" s="11">
        <f t="shared" si="1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0"/>
        <v>0</v>
      </c>
      <c r="G90" s="11">
        <f t="shared" si="1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0"/>
        <v>0</v>
      </c>
      <c r="G91" s="11">
        <f t="shared" si="1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0"/>
        <v>0</v>
      </c>
      <c r="G92" s="11">
        <f t="shared" si="1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0"/>
        <v>0</v>
      </c>
      <c r="G93" s="11">
        <f t="shared" si="1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0"/>
        <v>0</v>
      </c>
      <c r="G94" s="11">
        <f t="shared" si="1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0"/>
        <v>0</v>
      </c>
      <c r="G95" s="11">
        <f t="shared" si="1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0"/>
        <v>0</v>
      </c>
      <c r="G96" s="11">
        <f t="shared" si="1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0"/>
        <v>0</v>
      </c>
      <c r="G97" s="11">
        <f t="shared" si="1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0"/>
        <v>0</v>
      </c>
      <c r="G98" s="11">
        <f t="shared" si="1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0"/>
        <v>0</v>
      </c>
      <c r="G99" s="11">
        <f t="shared" si="1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0"/>
        <v>0</v>
      </c>
      <c r="G100" s="11">
        <f t="shared" si="1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 D4:D6 D8:D50" xr:uid="{00000000-0002-0000-0100-000000000000}">
      <formula1>Quien</formula1>
    </dataValidation>
    <dataValidation type="list" allowBlank="1" showErrorMessage="1" sqref="E2 E4:E6 E8:E50" xr:uid="{00000000-0002-0000-0100-000001000000}">
      <formula1>Proporcional</formula1>
    </dataValidation>
    <dataValidation type="list" allowBlank="1" showErrorMessage="1" sqref="B2 B4:B6 B8:B50" xr:uid="{00000000-0002-0000-0100-000002000000}">
      <formula1>Tipo</formula1>
    </dataValidation>
    <dataValidation type="decimal" allowBlank="1" showErrorMessage="1" sqref="C2 C4:C6 C8:C50" xr:uid="{00000000-0002-0000-0100-000003000000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27"/>
  <dimension ref="A1:N100"/>
  <sheetViews>
    <sheetView zoomScale="85" zoomScaleNormal="85" workbookViewId="0">
      <selection activeCell="N2" sqref="N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bestFit="1" width="16.36328125" customWidth="1"/>
    <col min="11" max="11" width="13.7265625" customWidth="1"/>
    <col min="12" max="12" width="13.542968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45795</v>
      </c>
      <c r="B2" s="10" t="s">
        <v>16</v>
      </c>
      <c r="C2" s="9">
        <v>50000</v>
      </c>
      <c r="D2" s="10" t="s">
        <v>14</v>
      </c>
      <c r="E2" s="10" t="s">
        <v>15</v>
      </c>
      <c r="F2" s="11">
        <f ref="F2:F100" t="shared" si="0">IF(B2="Consolidación",0,IF(E2="NO",C2*0.5,C2*$K$10))</f>
        <v>20507.266677068437</v>
      </c>
      <c r="G2" s="11">
        <f ref="G2:G100" t="shared" si="1">IF(B2="Consolidación",0,IF(E2="NO",C2*0.5,C2*$K$11))</f>
        <v>29492.733322931563</v>
      </c>
      <c r="H2" s="9" t="s">
        <v>80</v>
      </c>
      <c r="I2" s="11"/>
      <c r="J2" s="12">
        <f>SUM(K2,L2)</f>
        <v>2625106.05</v>
      </c>
      <c r="K2" s="12">
        <f>SUMIF(D2:D100,"Andrea",C2:C100)-SUMIFS(C2:C100,B2:B100,"Consolidación",D2:D100,"Juan")</f>
        <v>1035174.6499999999</v>
      </c>
      <c r="L2" s="12">
        <f>SUMIF(D2:D100,"Juan",C2:C100)-SUMIFS(C2:C100,B2:B100,"Consolidación",D2:D100,"Andrea")</f>
        <v>1589931.3999999997</v>
      </c>
      <c r="M2" s="13">
        <f>SUM(F2:F100)-K2+'Julio-25'!M2</f>
        <v>69311.103606014512</v>
      </c>
      <c r="N2" s="13">
        <f>SUM(G2:G100)-L2+'Julio-25'!N2</f>
        <v>-69311.103606014512</v>
      </c>
    </row>
    <row r="3" ht="14.25" customHeight="1">
      <c r="A3" s="7">
        <v>45839</v>
      </c>
      <c r="B3" s="8" t="s">
        <v>16</v>
      </c>
      <c r="C3" s="9">
        <v>5854</v>
      </c>
      <c r="D3" s="10" t="s">
        <v>14</v>
      </c>
      <c r="E3" s="10" t="s">
        <v>15</v>
      </c>
      <c r="F3" s="11">
        <f t="shared" si="0"/>
        <v>2400.9907825511727</v>
      </c>
      <c r="G3" s="11">
        <f t="shared" si="1"/>
        <v>3453.0092174488273</v>
      </c>
      <c r="H3" s="9" t="s">
        <v>81</v>
      </c>
      <c r="I3" s="11"/>
    </row>
    <row r="4" ht="14.25" customHeight="1">
      <c r="A4" s="7">
        <v>45839</v>
      </c>
      <c r="B4" s="8" t="s">
        <v>16</v>
      </c>
      <c r="C4" s="9">
        <v>50000</v>
      </c>
      <c r="D4" s="10" t="s">
        <v>14</v>
      </c>
      <c r="E4" s="10" t="s">
        <v>15</v>
      </c>
      <c r="F4" s="11">
        <f t="shared" si="0"/>
        <v>20507.266677068437</v>
      </c>
      <c r="G4" s="11">
        <f t="shared" si="1"/>
        <v>29492.733322931563</v>
      </c>
      <c r="H4" s="9" t="s">
        <v>82</v>
      </c>
      <c r="I4" s="11"/>
    </row>
    <row r="5" ht="14.25" customHeight="1">
      <c r="A5" s="7">
        <v>45839</v>
      </c>
      <c r="B5" s="8" t="s">
        <v>16</v>
      </c>
      <c r="C5" s="9">
        <v>51637.11</v>
      </c>
      <c r="D5" s="10" t="s">
        <v>14</v>
      </c>
      <c r="E5" s="10" t="s">
        <v>15</v>
      </c>
      <c r="F5" s="11">
        <f t="shared" si="0"/>
        <v>21178.719704062347</v>
      </c>
      <c r="G5" s="11">
        <f t="shared" si="1"/>
        <v>30458.390295937654</v>
      </c>
      <c r="H5" s="9" t="s">
        <v>83</v>
      </c>
      <c r="I5" s="11"/>
    </row>
    <row r="6" ht="14.25" customHeight="1">
      <c r="A6" s="7">
        <v>45870</v>
      </c>
      <c r="B6" s="8" t="s">
        <v>16</v>
      </c>
      <c r="C6" s="9">
        <v>28291.33</v>
      </c>
      <c r="D6" s="10" t="s">
        <v>14</v>
      </c>
      <c r="E6" s="10" t="s">
        <v>15</v>
      </c>
      <c r="F6" s="11">
        <f t="shared" si="0"/>
        <v>11603.556979178931</v>
      </c>
      <c r="G6" s="11">
        <f t="shared" si="1"/>
        <v>16687.773020821071</v>
      </c>
      <c r="H6" s="9" t="s">
        <v>84</v>
      </c>
      <c r="I6" s="11"/>
    </row>
    <row r="7" ht="14.25" customHeight="1">
      <c r="A7" s="7">
        <v>45870</v>
      </c>
      <c r="B7" s="8" t="s">
        <v>13</v>
      </c>
      <c r="C7" s="9">
        <v>24334</v>
      </c>
      <c r="D7" s="10" t="s">
        <v>14</v>
      </c>
      <c r="E7" s="10" t="s">
        <v>15</v>
      </c>
      <c r="F7" s="11">
        <f t="shared" si="0"/>
        <v>9980.4765463956664</v>
      </c>
      <c r="G7" s="11">
        <f t="shared" si="1"/>
        <v>14353.523453604334</v>
      </c>
      <c r="H7" s="9" t="s">
        <v>85</v>
      </c>
      <c r="I7" s="11"/>
      <c r="J7" s="10" t="s">
        <v>24</v>
      </c>
      <c r="K7" s="14">
        <v>1863741</v>
      </c>
    </row>
    <row r="8" ht="14.25" customHeight="1">
      <c r="A8" s="7">
        <v>45870</v>
      </c>
      <c r="B8" s="8" t="s">
        <v>16</v>
      </c>
      <c r="C8" s="9">
        <v>7321.33</v>
      </c>
      <c r="D8" s="10" t="s">
        <v>14</v>
      </c>
      <c r="E8" s="10" t="s">
        <v>15</v>
      </c>
      <c r="F8" s="11">
        <f t="shared" si="0"/>
        <v>3002.8093348164289</v>
      </c>
      <c r="G8" s="11">
        <f t="shared" si="1"/>
        <v>4318.5206651835706</v>
      </c>
      <c r="H8" s="9" t="s">
        <v>86</v>
      </c>
      <c r="I8" s="11"/>
      <c r="J8" s="10" t="s">
        <v>25</v>
      </c>
      <c r="K8" s="14">
        <v>2680358</v>
      </c>
    </row>
    <row r="9" ht="14.25" customHeight="1">
      <c r="A9" s="7">
        <v>45870</v>
      </c>
      <c r="B9" s="8" t="s">
        <v>16</v>
      </c>
      <c r="C9" s="9">
        <v>15831</v>
      </c>
      <c r="D9" s="10" t="s">
        <v>14</v>
      </c>
      <c r="E9" s="10" t="s">
        <v>15</v>
      </c>
      <c r="F9" s="11">
        <f t="shared" si="0"/>
        <v>6493.0107752934082</v>
      </c>
      <c r="G9" s="11">
        <f t="shared" si="1"/>
        <v>9337.98922470659</v>
      </c>
      <c r="H9" s="9" t="s">
        <v>87</v>
      </c>
      <c r="I9" s="11"/>
      <c r="J9" s="10" t="s">
        <v>8</v>
      </c>
      <c r="K9" s="14">
        <f>SUM(K7:K8)</f>
        <v>4544099</v>
      </c>
    </row>
    <row r="10" ht="14.25" customHeight="1">
      <c r="A10" s="7">
        <v>45842</v>
      </c>
      <c r="B10" s="8" t="s">
        <v>16</v>
      </c>
      <c r="C10" s="9">
        <v>32500</v>
      </c>
      <c r="D10" s="10" t="s">
        <v>20</v>
      </c>
      <c r="E10" s="10" t="s">
        <v>15</v>
      </c>
      <c r="F10" s="11">
        <f t="shared" si="0"/>
        <v>13329.723340094484</v>
      </c>
      <c r="G10" s="11">
        <f t="shared" si="1"/>
        <v>19170.276659905518</v>
      </c>
      <c r="H10" s="9" t="s">
        <v>88</v>
      </c>
      <c r="I10" s="11"/>
      <c r="J10" s="10" t="s">
        <v>28</v>
      </c>
      <c r="K10" s="15">
        <f>K7/K9</f>
        <v>0.41014533354136873</v>
      </c>
    </row>
    <row r="11" ht="14.25" customHeight="1">
      <c r="A11" s="7">
        <v>45870</v>
      </c>
      <c r="B11" s="8" t="s">
        <v>68</v>
      </c>
      <c r="C11" s="9">
        <v>22148.33</v>
      </c>
      <c r="D11" s="10" t="s">
        <v>14</v>
      </c>
      <c r="E11" s="10" t="s">
        <v>15</v>
      </c>
      <c r="F11" s="11">
        <f t="shared" si="0"/>
        <v>9084.0341952343042</v>
      </c>
      <c r="G11" s="11">
        <f t="shared" si="1"/>
        <v>13064.295804765698</v>
      </c>
      <c r="H11" s="9" t="s">
        <v>89</v>
      </c>
      <c r="I11" s="11"/>
      <c r="J11" s="10" t="s">
        <v>30</v>
      </c>
      <c r="K11" s="15">
        <f>K8/K9</f>
        <v>0.58985466645863127</v>
      </c>
    </row>
    <row r="12" ht="14.25" customHeight="1">
      <c r="A12" s="7">
        <v>45870</v>
      </c>
      <c r="B12" s="8" t="s">
        <v>16</v>
      </c>
      <c r="C12" s="9">
        <v>31333</v>
      </c>
      <c r="D12" s="10" t="s">
        <v>20</v>
      </c>
      <c r="E12" s="10" t="s">
        <v>15</v>
      </c>
      <c r="F12" s="11">
        <f t="shared" si="0"/>
        <v>12851.083735851706</v>
      </c>
      <c r="G12" s="11">
        <f t="shared" si="1"/>
        <v>18481.916264148294</v>
      </c>
      <c r="H12" s="9" t="s">
        <v>90</v>
      </c>
      <c r="I12" s="11"/>
    </row>
    <row r="13" ht="14.25" customHeight="1">
      <c r="A13" s="7">
        <v>45870</v>
      </c>
      <c r="B13" s="8" t="s">
        <v>19</v>
      </c>
      <c r="C13" s="9">
        <v>4652</v>
      </c>
      <c r="D13" s="10" t="s">
        <v>20</v>
      </c>
      <c r="E13" s="10" t="s">
        <v>15</v>
      </c>
      <c r="F13" s="11">
        <f t="shared" si="0"/>
        <v>1907.9960916344473</v>
      </c>
      <c r="G13" s="11">
        <f t="shared" si="1"/>
        <v>2744.0039083655529</v>
      </c>
      <c r="H13" s="9" t="s">
        <v>91</v>
      </c>
      <c r="I13" s="11"/>
    </row>
    <row r="14" ht="14.25" customHeight="1">
      <c r="A14" s="7">
        <v>45870</v>
      </c>
      <c r="B14" s="8" t="s">
        <v>68</v>
      </c>
      <c r="C14" s="9">
        <v>27910</v>
      </c>
      <c r="D14" s="10" t="s">
        <v>14</v>
      </c>
      <c r="E14" s="10" t="s">
        <v>15</v>
      </c>
      <c r="F14" s="11">
        <f t="shared" si="0"/>
        <v>11447.156259139601</v>
      </c>
      <c r="G14" s="11">
        <f t="shared" si="1"/>
        <v>16462.8437408604</v>
      </c>
      <c r="H14" s="9" t="s">
        <v>92</v>
      </c>
      <c r="I14" s="11"/>
    </row>
    <row r="15" ht="14.25" customHeight="1">
      <c r="A15" s="7">
        <v>45870</v>
      </c>
      <c r="B15" s="8" t="s">
        <v>68</v>
      </c>
      <c r="C15" s="9">
        <v>11780</v>
      </c>
      <c r="D15" s="10" t="s">
        <v>14</v>
      </c>
      <c r="E15" s="10" t="s">
        <v>15</v>
      </c>
      <c r="F15" s="11">
        <f t="shared" si="0"/>
        <v>4831.5120291173234</v>
      </c>
      <c r="G15" s="11">
        <f t="shared" si="1"/>
        <v>6948.4879708826766</v>
      </c>
      <c r="H15" s="9" t="s">
        <v>93</v>
      </c>
      <c r="I15" s="11"/>
      <c r="K15" s="16"/>
    </row>
    <row r="16" ht="14.25" customHeight="1">
      <c r="A16" s="7">
        <v>45870</v>
      </c>
      <c r="B16" s="8" t="s">
        <v>16</v>
      </c>
      <c r="C16" s="9">
        <v>7667.78</v>
      </c>
      <c r="D16" s="10" t="s">
        <v>20</v>
      </c>
      <c r="E16" s="10" t="s">
        <v>15</v>
      </c>
      <c r="F16" s="11">
        <f t="shared" si="0"/>
        <v>3144.9041856218364</v>
      </c>
      <c r="G16" s="11">
        <f t="shared" si="1"/>
        <v>4522.8758143781633</v>
      </c>
      <c r="H16" s="9" t="s">
        <v>91</v>
      </c>
      <c r="I16" s="11"/>
    </row>
    <row r="17" ht="14.25" customHeight="1">
      <c r="A17" s="7">
        <v>45870</v>
      </c>
      <c r="B17" s="8" t="s">
        <v>16</v>
      </c>
      <c r="C17" s="9">
        <v>20216.67</v>
      </c>
      <c r="D17" s="10" t="s">
        <v>20</v>
      </c>
      <c r="E17" s="10" t="s">
        <v>15</v>
      </c>
      <c r="F17" s="11">
        <f t="shared" si="0"/>
        <v>8291.7728602457828</v>
      </c>
      <c r="G17" s="11">
        <f t="shared" si="1"/>
        <v>11924.897139754215</v>
      </c>
      <c r="H17" s="9" t="s">
        <v>94</v>
      </c>
      <c r="I17" s="11"/>
    </row>
    <row r="18" ht="14.25" customHeight="1">
      <c r="A18" s="7">
        <v>45870</v>
      </c>
      <c r="B18" s="8" t="s">
        <v>16</v>
      </c>
      <c r="C18" s="9">
        <v>25213</v>
      </c>
      <c r="D18" s="10" t="s">
        <v>20</v>
      </c>
      <c r="E18" s="10" t="s">
        <v>15</v>
      </c>
      <c r="F18" s="11">
        <f t="shared" si="0"/>
        <v>10340.99429457853</v>
      </c>
      <c r="G18" s="11">
        <f t="shared" si="1"/>
        <v>14872.00570542147</v>
      </c>
      <c r="H18" s="9" t="s">
        <v>95</v>
      </c>
      <c r="I18" s="11"/>
    </row>
    <row r="19" ht="14.25" customHeight="1">
      <c r="A19" s="7">
        <v>45870</v>
      </c>
      <c r="B19" s="8" t="s">
        <v>51</v>
      </c>
      <c r="C19" s="9">
        <v>320996.04</v>
      </c>
      <c r="D19" s="10" t="s">
        <v>14</v>
      </c>
      <c r="E19" s="10" t="s">
        <v>15</v>
      </c>
      <c r="F19" s="11">
        <f t="shared" si="0"/>
        <v>131655.02789125853</v>
      </c>
      <c r="G19" s="11">
        <f t="shared" si="1"/>
        <v>189341.01210874144</v>
      </c>
      <c r="H19" s="9"/>
      <c r="I19" s="11"/>
    </row>
    <row r="20" ht="14.25" customHeight="1">
      <c r="A20" s="7">
        <v>45870</v>
      </c>
      <c r="B20" s="8" t="s">
        <v>13</v>
      </c>
      <c r="C20" s="9">
        <v>7500</v>
      </c>
      <c r="D20" s="10" t="s">
        <v>14</v>
      </c>
      <c r="E20" s="10" t="s">
        <v>15</v>
      </c>
      <c r="F20" s="11">
        <f t="shared" si="0"/>
        <v>3076.0900015602656</v>
      </c>
      <c r="G20" s="11">
        <f t="shared" si="1"/>
        <v>4423.9099984397344</v>
      </c>
      <c r="H20" s="9" t="s">
        <v>96</v>
      </c>
      <c r="I20" s="11"/>
    </row>
    <row r="21" ht="14.25" customHeight="1">
      <c r="A21" s="7">
        <v>45871</v>
      </c>
      <c r="B21" s="8" t="s">
        <v>27</v>
      </c>
      <c r="C21" s="9">
        <v>201036</v>
      </c>
      <c r="D21" s="10" t="s">
        <v>20</v>
      </c>
      <c r="E21" s="10" t="s">
        <v>15</v>
      </c>
      <c r="F21" s="11">
        <f t="shared" si="0"/>
        <v>82453.9772738226</v>
      </c>
      <c r="G21" s="11">
        <f t="shared" si="1"/>
        <v>118582.0227261774</v>
      </c>
      <c r="H21" s="9"/>
      <c r="I21" s="11"/>
    </row>
    <row r="22" ht="14.25" customHeight="1">
      <c r="A22" s="7">
        <v>45871</v>
      </c>
      <c r="B22" s="8" t="s">
        <v>16</v>
      </c>
      <c r="C22" s="9">
        <v>8470</v>
      </c>
      <c r="D22" s="10" t="s">
        <v>14</v>
      </c>
      <c r="E22" s="10" t="s">
        <v>15</v>
      </c>
      <c r="F22" s="11">
        <f t="shared" si="0"/>
        <v>3473.930975095393</v>
      </c>
      <c r="G22" s="11">
        <f t="shared" si="1"/>
        <v>4996.0690249046065</v>
      </c>
      <c r="H22" s="9" t="s">
        <v>97</v>
      </c>
      <c r="I22" s="11"/>
    </row>
    <row r="23" ht="14.25" customHeight="1">
      <c r="A23" s="7">
        <v>45870</v>
      </c>
      <c r="B23" s="8" t="s">
        <v>49</v>
      </c>
      <c r="C23" s="9">
        <v>49052.12</v>
      </c>
      <c r="D23" s="10" t="s">
        <v>14</v>
      </c>
      <c r="E23" s="10" t="s">
        <v>15</v>
      </c>
      <c r="F23" s="11">
        <f t="shared" si="0"/>
        <v>20118.498118311243</v>
      </c>
      <c r="G23" s="11">
        <f t="shared" si="1"/>
        <v>28933.621881688759</v>
      </c>
      <c r="H23" s="9"/>
      <c r="I23" s="11"/>
    </row>
    <row r="24" ht="14.25" customHeight="1">
      <c r="A24" s="7">
        <v>45871</v>
      </c>
      <c r="B24" s="8" t="s">
        <v>19</v>
      </c>
      <c r="C24" s="9">
        <v>38850</v>
      </c>
      <c r="D24" s="10" t="s">
        <v>14</v>
      </c>
      <c r="E24" s="10" t="s">
        <v>15</v>
      </c>
      <c r="F24" s="11">
        <f t="shared" si="0"/>
        <v>15934.146208082175</v>
      </c>
      <c r="G24" s="11">
        <f t="shared" si="1"/>
        <v>22915.853791917823</v>
      </c>
      <c r="H24" s="9"/>
      <c r="I24" s="11"/>
    </row>
    <row r="25" ht="14.25" customHeight="1">
      <c r="A25" s="7">
        <v>45871</v>
      </c>
      <c r="B25" s="8" t="s">
        <v>52</v>
      </c>
      <c r="C25" s="9">
        <v>9971.6</v>
      </c>
      <c r="D25" s="10" t="s">
        <v>14</v>
      </c>
      <c r="E25" s="10" t="s">
        <v>15</v>
      </c>
      <c r="F25" s="11">
        <f t="shared" si="0"/>
        <v>4089.8052079411127</v>
      </c>
      <c r="G25" s="11">
        <f t="shared" si="1"/>
        <v>5881.7947920588877</v>
      </c>
      <c r="H25" s="9"/>
      <c r="I25" s="11"/>
    </row>
    <row r="26" ht="14.25" customHeight="1">
      <c r="A26" s="7">
        <v>45872</v>
      </c>
      <c r="B26" s="8" t="s">
        <v>16</v>
      </c>
      <c r="C26" s="9">
        <v>79200</v>
      </c>
      <c r="D26" s="10" t="s">
        <v>20</v>
      </c>
      <c r="E26" s="10" t="s">
        <v>15</v>
      </c>
      <c r="F26" s="11">
        <f t="shared" si="0"/>
        <v>32483.5104164764</v>
      </c>
      <c r="G26" s="11">
        <f t="shared" si="1"/>
        <v>46716.489583523595</v>
      </c>
      <c r="H26" s="9" t="s">
        <v>98</v>
      </c>
      <c r="I26" s="11"/>
    </row>
    <row r="27" ht="14.25" customHeight="1">
      <c r="A27" s="7">
        <v>45873</v>
      </c>
      <c r="B27" s="8" t="s">
        <v>61</v>
      </c>
      <c r="C27" s="9">
        <v>74461.5</v>
      </c>
      <c r="D27" s="10" t="s">
        <v>14</v>
      </c>
      <c r="E27" s="10" t="s">
        <v>15</v>
      </c>
      <c r="F27" s="11">
        <f t="shared" si="0"/>
        <v>30540.036753490629</v>
      </c>
      <c r="G27" s="11">
        <f t="shared" si="1"/>
        <v>43921.463246509375</v>
      </c>
      <c r="H27" s="9"/>
      <c r="I27" s="11"/>
    </row>
    <row r="28" ht="14.25" customHeight="1">
      <c r="A28" s="7">
        <v>45873</v>
      </c>
      <c r="B28" s="8" t="s">
        <v>99</v>
      </c>
      <c r="C28" s="9">
        <v>35956.61</v>
      </c>
      <c r="D28" s="10" t="s">
        <v>14</v>
      </c>
      <c r="E28" s="10" t="s">
        <v>15</v>
      </c>
      <c r="F28" s="11">
        <f t="shared" si="0"/>
        <v>14747.435801466914</v>
      </c>
      <c r="G28" s="11">
        <f t="shared" si="1"/>
        <v>21209.174198533085</v>
      </c>
      <c r="H28" s="9"/>
    </row>
    <row r="29" ht="14.25" customHeight="1">
      <c r="A29" s="7">
        <v>45874</v>
      </c>
      <c r="B29" s="8" t="s">
        <v>27</v>
      </c>
      <c r="C29" s="9">
        <v>93490.64</v>
      </c>
      <c r="D29" s="10" t="s">
        <v>14</v>
      </c>
      <c r="E29" s="10" t="s">
        <v>15</v>
      </c>
      <c r="F29" s="11">
        <f t="shared" si="0"/>
        <v>38344.749725796028</v>
      </c>
      <c r="G29" s="11">
        <f t="shared" si="1"/>
        <v>55145.890274203972</v>
      </c>
      <c r="H29" s="9"/>
    </row>
    <row r="30" ht="14.25" customHeight="1">
      <c r="A30" s="7">
        <v>45875</v>
      </c>
      <c r="B30" s="8" t="s">
        <v>66</v>
      </c>
      <c r="C30" s="9">
        <v>69184.04</v>
      </c>
      <c r="D30" s="10" t="s">
        <v>14</v>
      </c>
      <c r="E30" s="10" t="s">
        <v>15</v>
      </c>
      <c r="F30" s="11">
        <f t="shared" si="0"/>
        <v>28375.511161539394</v>
      </c>
      <c r="G30" s="11">
        <f t="shared" si="1"/>
        <v>40808.5288384606</v>
      </c>
      <c r="H30" s="9"/>
    </row>
    <row r="31" ht="14.25" customHeight="1">
      <c r="A31" s="7">
        <v>45877</v>
      </c>
      <c r="B31" s="8" t="s">
        <v>62</v>
      </c>
      <c r="C31" s="9">
        <v>12369.57</v>
      </c>
      <c r="D31" s="10" t="s">
        <v>14</v>
      </c>
      <c r="E31" s="10" t="s">
        <v>15</v>
      </c>
      <c r="F31" s="11">
        <f t="shared" si="0"/>
        <v>5073.3214134133086</v>
      </c>
      <c r="G31" s="11">
        <f t="shared" si="1"/>
        <v>7296.2485865866911</v>
      </c>
      <c r="H31" s="9"/>
    </row>
    <row r="32" ht="14.25" customHeight="1">
      <c r="A32" s="7">
        <v>45878</v>
      </c>
      <c r="B32" s="8" t="s">
        <v>35</v>
      </c>
      <c r="C32" s="9">
        <v>1000</v>
      </c>
      <c r="D32" s="10" t="s">
        <v>20</v>
      </c>
      <c r="E32" s="10" t="s">
        <v>15</v>
      </c>
      <c r="F32" s="11">
        <f t="shared" si="0"/>
        <v>410.1453335413687</v>
      </c>
      <c r="G32" s="11">
        <f t="shared" si="1"/>
        <v>589.8546664586313</v>
      </c>
      <c r="H32" s="9"/>
    </row>
    <row r="33" ht="14.25" customHeight="1">
      <c r="A33" s="7">
        <v>45878</v>
      </c>
      <c r="B33" s="8" t="s">
        <v>36</v>
      </c>
      <c r="C33" s="9">
        <v>40398</v>
      </c>
      <c r="D33" s="10" t="s">
        <v>20</v>
      </c>
      <c r="E33" s="10" t="s">
        <v>15</v>
      </c>
      <c r="F33" s="11">
        <f t="shared" si="0"/>
        <v>16569.051184404212</v>
      </c>
      <c r="G33" s="11">
        <f t="shared" si="1"/>
        <v>23828.948815595788</v>
      </c>
      <c r="H33" s="9"/>
    </row>
    <row r="34" ht="14.25" customHeight="1">
      <c r="A34" s="7">
        <v>45875</v>
      </c>
      <c r="B34" s="8" t="s">
        <v>36</v>
      </c>
      <c r="C34" s="9">
        <v>5800</v>
      </c>
      <c r="D34" s="10" t="s">
        <v>20</v>
      </c>
      <c r="E34" s="10" t="s">
        <v>15</v>
      </c>
      <c r="F34" s="11">
        <f t="shared" si="0"/>
        <v>2378.8429345399386</v>
      </c>
      <c r="G34" s="11">
        <f t="shared" si="1"/>
        <v>3421.1570654600614</v>
      </c>
      <c r="H34" s="9" t="s">
        <v>60</v>
      </c>
    </row>
    <row r="35" ht="14.25" customHeight="1">
      <c r="A35" s="7">
        <v>45876</v>
      </c>
      <c r="B35" s="8" t="s">
        <v>37</v>
      </c>
      <c r="C35" s="9">
        <v>55000</v>
      </c>
      <c r="D35" s="10" t="s">
        <v>14</v>
      </c>
      <c r="E35" s="10" t="s">
        <v>15</v>
      </c>
      <c r="F35" s="11">
        <f t="shared" si="0"/>
        <v>22557.993344775281</v>
      </c>
      <c r="G35" s="11">
        <f t="shared" si="1"/>
        <v>32442.006655224719</v>
      </c>
      <c r="H35" s="9"/>
    </row>
    <row r="36" ht="14.25" customHeight="1">
      <c r="A36" s="7">
        <v>45877</v>
      </c>
      <c r="B36" s="8" t="s">
        <v>61</v>
      </c>
      <c r="C36" s="9">
        <v>3277.5</v>
      </c>
      <c r="D36" s="10" t="s">
        <v>14</v>
      </c>
      <c r="E36" s="10" t="s">
        <v>15</v>
      </c>
      <c r="F36" s="11">
        <f t="shared" si="0"/>
        <v>1344.251330681836</v>
      </c>
      <c r="G36" s="11">
        <f t="shared" si="1"/>
        <v>1933.248669318164</v>
      </c>
      <c r="H36" s="9"/>
    </row>
    <row r="37" ht="14.25" customHeight="1">
      <c r="A37" s="7">
        <v>45877</v>
      </c>
      <c r="B37" s="8" t="s">
        <v>54</v>
      </c>
      <c r="C37" s="9">
        <v>13000</v>
      </c>
      <c r="D37" s="10" t="s">
        <v>20</v>
      </c>
      <c r="E37" s="10" t="s">
        <v>15</v>
      </c>
      <c r="F37" s="11">
        <f t="shared" si="0"/>
        <v>5331.8893360377933</v>
      </c>
      <c r="G37" s="11">
        <f t="shared" si="1"/>
        <v>7668.1106639622067</v>
      </c>
      <c r="H37" s="9"/>
    </row>
    <row r="38" ht="14.25" customHeight="1">
      <c r="A38" s="7">
        <v>45879</v>
      </c>
      <c r="B38" s="8" t="s">
        <v>16</v>
      </c>
      <c r="C38" s="9">
        <v>13890</v>
      </c>
      <c r="D38" s="10" t="s">
        <v>20</v>
      </c>
      <c r="E38" s="10" t="s">
        <v>15</v>
      </c>
      <c r="F38" s="11">
        <f t="shared" si="0"/>
        <v>5696.9186828896118</v>
      </c>
      <c r="G38" s="11">
        <f t="shared" si="1"/>
        <v>8193.08131711039</v>
      </c>
      <c r="H38" s="9" t="s">
        <v>67</v>
      </c>
    </row>
    <row r="39" ht="14.25" customHeight="1">
      <c r="A39" s="7">
        <v>45879</v>
      </c>
      <c r="B39" s="8" t="s">
        <v>61</v>
      </c>
      <c r="C39" s="9">
        <v>8732</v>
      </c>
      <c r="D39" s="10" t="s">
        <v>14</v>
      </c>
      <c r="E39" s="10" t="s">
        <v>15</v>
      </c>
      <c r="F39" s="11">
        <f t="shared" si="0"/>
        <v>3581.3890524832318</v>
      </c>
      <c r="G39" s="11">
        <f t="shared" si="1"/>
        <v>5150.6109475167686</v>
      </c>
      <c r="H39" s="9"/>
    </row>
    <row r="40" ht="14.25" customHeight="1">
      <c r="A40" s="7">
        <v>45882</v>
      </c>
      <c r="B40" s="8" t="s">
        <v>16</v>
      </c>
      <c r="C40" s="9">
        <v>68500</v>
      </c>
      <c r="D40" s="10" t="s">
        <v>14</v>
      </c>
      <c r="E40" s="10" t="s">
        <v>15</v>
      </c>
      <c r="F40" s="11">
        <f t="shared" si="0"/>
        <v>28094.955347583757</v>
      </c>
      <c r="G40" s="11">
        <f t="shared" si="1"/>
        <v>40405.04465241624</v>
      </c>
      <c r="H40" s="9" t="s">
        <v>33</v>
      </c>
    </row>
    <row r="41" ht="14.25" customHeight="1">
      <c r="A41" s="7">
        <v>45882</v>
      </c>
      <c r="B41" s="8" t="s">
        <v>16</v>
      </c>
      <c r="C41" s="9">
        <v>75000</v>
      </c>
      <c r="D41" s="10" t="s">
        <v>20</v>
      </c>
      <c r="E41" s="10" t="s">
        <v>15</v>
      </c>
      <c r="F41" s="11">
        <f t="shared" si="0"/>
        <v>30760.900015602656</v>
      </c>
      <c r="G41" s="11">
        <f t="shared" si="1"/>
        <v>44239.099984397348</v>
      </c>
      <c r="H41" s="9" t="s">
        <v>33</v>
      </c>
    </row>
    <row r="42" ht="14.25" customHeight="1">
      <c r="A42" s="7">
        <v>45882</v>
      </c>
      <c r="B42" s="8" t="s">
        <v>16</v>
      </c>
      <c r="C42" s="9">
        <v>13000</v>
      </c>
      <c r="D42" s="10" t="s">
        <v>20</v>
      </c>
      <c r="E42" s="10" t="s">
        <v>15</v>
      </c>
      <c r="F42" s="11">
        <f t="shared" si="0"/>
        <v>5331.8893360377933</v>
      </c>
      <c r="G42" s="11">
        <f t="shared" si="1"/>
        <v>7668.1106639622067</v>
      </c>
      <c r="H42" s="9" t="s">
        <v>60</v>
      </c>
    </row>
    <row r="43" ht="14.25" customHeight="1">
      <c r="A43" s="7">
        <v>45883</v>
      </c>
      <c r="B43" s="8" t="s">
        <v>27</v>
      </c>
      <c r="C43" s="9">
        <v>174455</v>
      </c>
      <c r="D43" s="10" t="s">
        <v>20</v>
      </c>
      <c r="E43" s="10" t="s">
        <v>15</v>
      </c>
      <c r="F43" s="11">
        <f t="shared" si="0"/>
        <v>71551.904162959487</v>
      </c>
      <c r="G43" s="11">
        <f t="shared" si="1"/>
        <v>102903.09583704051</v>
      </c>
      <c r="H43" s="9"/>
    </row>
    <row r="44" ht="14.25" customHeight="1">
      <c r="A44" s="7">
        <v>45883</v>
      </c>
      <c r="B44" s="8" t="s">
        <v>61</v>
      </c>
      <c r="C44" s="9">
        <v>28470</v>
      </c>
      <c r="D44" s="10" t="s">
        <v>14</v>
      </c>
      <c r="E44" s="10" t="s">
        <v>15</v>
      </c>
      <c r="F44" s="11">
        <f t="shared" si="0"/>
        <v>11676.837645922767</v>
      </c>
      <c r="G44" s="11">
        <f t="shared" si="1"/>
        <v>16793.162354077231</v>
      </c>
      <c r="H44" s="9"/>
    </row>
    <row r="45" ht="14.25" customHeight="1">
      <c r="A45" s="7">
        <v>45884</v>
      </c>
      <c r="B45" s="8" t="s">
        <v>36</v>
      </c>
      <c r="C45" s="9">
        <v>21807</v>
      </c>
      <c r="D45" s="10" t="s">
        <v>20</v>
      </c>
      <c r="E45" s="10" t="s">
        <v>15</v>
      </c>
      <c r="F45" s="11">
        <f t="shared" si="0"/>
        <v>8944.0392885366273</v>
      </c>
      <c r="G45" s="11">
        <f t="shared" si="1"/>
        <v>12862.960711463373</v>
      </c>
      <c r="H45" s="9"/>
    </row>
    <row r="46" ht="14.25" customHeight="1">
      <c r="A46" s="7">
        <v>45884</v>
      </c>
      <c r="B46" s="8" t="s">
        <v>36</v>
      </c>
      <c r="C46" s="9">
        <v>12800</v>
      </c>
      <c r="D46" s="10" t="s">
        <v>20</v>
      </c>
      <c r="E46" s="10" t="s">
        <v>15</v>
      </c>
      <c r="F46" s="11">
        <f t="shared" si="0"/>
        <v>5249.86026932952</v>
      </c>
      <c r="G46" s="11">
        <f t="shared" si="1"/>
        <v>7550.13973067048</v>
      </c>
      <c r="H46" s="9" t="s">
        <v>100</v>
      </c>
    </row>
    <row r="47" ht="14.25" customHeight="1">
      <c r="A47" s="7">
        <v>45884</v>
      </c>
      <c r="B47" s="8" t="s">
        <v>19</v>
      </c>
      <c r="C47" s="9">
        <v>36828.22</v>
      </c>
      <c r="D47" s="10" t="s">
        <v>14</v>
      </c>
      <c r="E47" s="10" t="s">
        <v>15</v>
      </c>
      <c r="F47" s="11">
        <f t="shared" si="0"/>
        <v>15104.922575634908</v>
      </c>
      <c r="G47" s="11">
        <f t="shared" si="1"/>
        <v>21723.297424365093</v>
      </c>
      <c r="H47" s="9"/>
    </row>
    <row r="48" ht="14.25" customHeight="1">
      <c r="A48" s="7">
        <v>45885</v>
      </c>
      <c r="B48" s="8" t="s">
        <v>16</v>
      </c>
      <c r="C48" s="9">
        <v>46500</v>
      </c>
      <c r="D48" s="10" t="s">
        <v>20</v>
      </c>
      <c r="E48" s="10" t="s">
        <v>15</v>
      </c>
      <c r="F48" s="11">
        <f t="shared" si="0"/>
        <v>19071.758009673646</v>
      </c>
      <c r="G48" s="11">
        <f t="shared" si="1"/>
        <v>27428.241990326354</v>
      </c>
      <c r="H48" s="9" t="s">
        <v>101</v>
      </c>
    </row>
    <row r="49" ht="14.25" customHeight="1">
      <c r="A49" s="7">
        <v>45885</v>
      </c>
      <c r="B49" s="8" t="s">
        <v>61</v>
      </c>
      <c r="C49" s="9">
        <v>18650</v>
      </c>
      <c r="D49" s="10" t="s">
        <v>14</v>
      </c>
      <c r="E49" s="10" t="s">
        <v>15</v>
      </c>
      <c r="F49" s="11">
        <f t="shared" si="0"/>
        <v>7649.2104705465272</v>
      </c>
      <c r="G49" s="11">
        <f t="shared" si="1"/>
        <v>11000.789529453474</v>
      </c>
      <c r="H49" s="9"/>
    </row>
    <row r="50" ht="14.25" customHeight="1">
      <c r="A50" s="7">
        <v>45885</v>
      </c>
      <c r="B50" s="8" t="s">
        <v>13</v>
      </c>
      <c r="C50" s="9">
        <v>9187</v>
      </c>
      <c r="D50" s="10" t="s">
        <v>14</v>
      </c>
      <c r="E50" s="10" t="s">
        <v>15</v>
      </c>
      <c r="F50" s="11">
        <f t="shared" si="0"/>
        <v>3768.0051792445547</v>
      </c>
      <c r="G50" s="11">
        <f t="shared" si="1"/>
        <v>5418.9948207554453</v>
      </c>
      <c r="H50" s="9" t="s">
        <v>41</v>
      </c>
    </row>
    <row r="51" ht="14.25" customHeight="1">
      <c r="A51" s="7">
        <v>45885</v>
      </c>
      <c r="B51" s="8" t="s">
        <v>37</v>
      </c>
      <c r="C51" s="9">
        <v>12000</v>
      </c>
      <c r="D51" s="10" t="s">
        <v>14</v>
      </c>
      <c r="E51" s="10" t="s">
        <v>15</v>
      </c>
      <c r="F51" s="11">
        <f t="shared" si="0"/>
        <v>4921.7440024964244</v>
      </c>
      <c r="G51" s="11">
        <f t="shared" si="1"/>
        <v>7078.2559975035756</v>
      </c>
      <c r="H51" s="9"/>
    </row>
    <row r="52" ht="14.25" customHeight="1">
      <c r="A52" s="7">
        <v>45889</v>
      </c>
      <c r="B52" s="8" t="s">
        <v>16</v>
      </c>
      <c r="C52" s="9">
        <v>11000</v>
      </c>
      <c r="D52" s="10" t="s">
        <v>14</v>
      </c>
      <c r="E52" s="10" t="s">
        <v>15</v>
      </c>
      <c r="F52" s="11">
        <f t="shared" si="0"/>
        <v>4511.5986689550564</v>
      </c>
      <c r="G52" s="11">
        <f t="shared" si="1"/>
        <v>6488.4013310449436</v>
      </c>
      <c r="H52" s="9" t="s">
        <v>60</v>
      </c>
    </row>
    <row r="53" ht="14.25" customHeight="1">
      <c r="A53" s="7">
        <v>45889</v>
      </c>
      <c r="B53" s="8" t="s">
        <v>19</v>
      </c>
      <c r="C53" s="9">
        <v>19000</v>
      </c>
      <c r="D53" s="10" t="s">
        <v>14</v>
      </c>
      <c r="E53" s="10" t="s">
        <v>15</v>
      </c>
      <c r="F53" s="11">
        <f t="shared" si="0"/>
        <v>7792.761337286006</v>
      </c>
      <c r="G53" s="11">
        <f t="shared" si="1"/>
        <v>11207.238662713995</v>
      </c>
      <c r="H53" s="9"/>
    </row>
    <row r="54" ht="14.25" customHeight="1">
      <c r="A54" s="7">
        <v>45889</v>
      </c>
      <c r="B54" s="8" t="s">
        <v>27</v>
      </c>
      <c r="C54" s="9">
        <v>91293.46</v>
      </c>
      <c r="D54" s="10" t="s">
        <v>14</v>
      </c>
      <c r="E54" s="10" t="s">
        <v>15</v>
      </c>
      <c r="F54" s="11">
        <f t="shared" si="0"/>
        <v>37443.586601845607</v>
      </c>
      <c r="G54" s="11">
        <f t="shared" si="1"/>
        <v>53849.8733981544</v>
      </c>
      <c r="H54" s="9"/>
    </row>
    <row r="55" ht="14.25" customHeight="1">
      <c r="A55" s="7">
        <v>45891</v>
      </c>
      <c r="B55" s="8" t="s">
        <v>61</v>
      </c>
      <c r="C55" s="9">
        <v>9000</v>
      </c>
      <c r="D55" s="10" t="s">
        <v>20</v>
      </c>
      <c r="E55" s="10" t="s">
        <v>15</v>
      </c>
      <c r="F55" s="11">
        <f t="shared" si="0"/>
        <v>3691.3080018723185</v>
      </c>
      <c r="G55" s="11">
        <f t="shared" si="1"/>
        <v>5308.6919981276815</v>
      </c>
      <c r="H55" s="9"/>
    </row>
    <row r="56" ht="14.25" customHeight="1">
      <c r="A56" s="7">
        <v>45890</v>
      </c>
      <c r="B56" s="8" t="s">
        <v>36</v>
      </c>
      <c r="C56" s="9">
        <v>1500</v>
      </c>
      <c r="D56" s="10" t="s">
        <v>20</v>
      </c>
      <c r="E56" s="10" t="s">
        <v>15</v>
      </c>
      <c r="F56" s="11">
        <f t="shared" si="0"/>
        <v>615.218000312053</v>
      </c>
      <c r="G56" s="11">
        <f t="shared" si="1"/>
        <v>884.781999687947</v>
      </c>
      <c r="H56" s="9"/>
    </row>
    <row r="57" ht="14.25" customHeight="1">
      <c r="A57" s="7">
        <v>45886</v>
      </c>
      <c r="B57" s="8" t="s">
        <v>16</v>
      </c>
      <c r="C57" s="9">
        <v>21000</v>
      </c>
      <c r="D57" s="10" t="s">
        <v>20</v>
      </c>
      <c r="E57" s="10" t="s">
        <v>15</v>
      </c>
      <c r="F57" s="11">
        <f t="shared" si="0"/>
        <v>8613.0520043687429</v>
      </c>
      <c r="G57" s="11">
        <f t="shared" si="1"/>
        <v>12386.947995631257</v>
      </c>
      <c r="H57" s="9" t="s">
        <v>102</v>
      </c>
    </row>
    <row r="58" ht="14.25" customHeight="1">
      <c r="A58" s="7">
        <v>45892</v>
      </c>
      <c r="B58" s="8" t="s">
        <v>37</v>
      </c>
      <c r="C58" s="9">
        <v>15000</v>
      </c>
      <c r="D58" s="10" t="s">
        <v>14</v>
      </c>
      <c r="E58" s="10" t="s">
        <v>15</v>
      </c>
      <c r="F58" s="11">
        <f t="shared" si="0"/>
        <v>6152.1800031205312</v>
      </c>
      <c r="G58" s="11">
        <f t="shared" si="1"/>
        <v>8847.8199968794688</v>
      </c>
      <c r="H58" s="9"/>
    </row>
    <row r="59" ht="14.25" customHeight="1">
      <c r="A59" s="7">
        <v>45893</v>
      </c>
      <c r="B59" s="8" t="s">
        <v>16</v>
      </c>
      <c r="C59" s="9">
        <v>10000</v>
      </c>
      <c r="D59" s="10" t="s">
        <v>20</v>
      </c>
      <c r="E59" s="10" t="s">
        <v>15</v>
      </c>
      <c r="F59" s="11">
        <f t="shared" si="0"/>
        <v>4101.4533354136875</v>
      </c>
      <c r="G59" s="11">
        <f t="shared" si="1"/>
        <v>5898.5466645863125</v>
      </c>
      <c r="H59" s="9" t="s">
        <v>97</v>
      </c>
    </row>
    <row r="60" ht="14.25" customHeight="1">
      <c r="A60" s="7">
        <v>45896</v>
      </c>
      <c r="B60" s="8" t="s">
        <v>63</v>
      </c>
      <c r="C60" s="9">
        <v>34000</v>
      </c>
      <c r="D60" s="10" t="s">
        <v>20</v>
      </c>
      <c r="E60" s="10" t="s">
        <v>15</v>
      </c>
      <c r="F60" s="11">
        <f t="shared" si="0"/>
        <v>13944.941340406536</v>
      </c>
      <c r="G60" s="11">
        <f t="shared" si="1"/>
        <v>20055.058659593462</v>
      </c>
      <c r="H60" s="9"/>
    </row>
    <row r="61" ht="14.25" customHeight="1">
      <c r="A61" s="7">
        <v>45895</v>
      </c>
      <c r="B61" s="8" t="s">
        <v>27</v>
      </c>
      <c r="C61" s="9">
        <v>132614</v>
      </c>
      <c r="D61" s="10" t="s">
        <v>14</v>
      </c>
      <c r="E61" s="10" t="s">
        <v>15</v>
      </c>
      <c r="F61" s="11">
        <f t="shared" si="0"/>
        <v>54391.013262255074</v>
      </c>
      <c r="G61" s="11">
        <f t="shared" si="1"/>
        <v>78222.986737744926</v>
      </c>
      <c r="H61" s="9"/>
    </row>
    <row r="62" ht="14.25" customHeight="1">
      <c r="A62" s="7">
        <v>45892</v>
      </c>
      <c r="B62" s="8" t="s">
        <v>16</v>
      </c>
      <c r="C62" s="9">
        <v>5617</v>
      </c>
      <c r="D62" s="10" t="s">
        <v>20</v>
      </c>
      <c r="E62" s="10" t="s">
        <v>15</v>
      </c>
      <c r="F62" s="11">
        <f t="shared" si="0"/>
        <v>2303.7863385018682</v>
      </c>
      <c r="G62" s="11">
        <f t="shared" si="1"/>
        <v>3313.2136614981318</v>
      </c>
      <c r="H62" s="9" t="s">
        <v>91</v>
      </c>
    </row>
    <row r="63" ht="14.25" customHeight="1">
      <c r="A63" s="7">
        <v>45892</v>
      </c>
      <c r="B63" s="8" t="s">
        <v>13</v>
      </c>
      <c r="C63" s="9">
        <v>10100</v>
      </c>
      <c r="D63" s="10" t="s">
        <v>14</v>
      </c>
      <c r="E63" s="10" t="s">
        <v>15</v>
      </c>
      <c r="F63" s="11">
        <f t="shared" si="0"/>
        <v>4142.4678687678243</v>
      </c>
      <c r="G63" s="11">
        <f t="shared" si="1"/>
        <v>5957.5321312321757</v>
      </c>
      <c r="H63" s="9" t="s">
        <v>41</v>
      </c>
    </row>
    <row r="64" ht="14.25" customHeight="1">
      <c r="A64" s="7">
        <v>45892</v>
      </c>
      <c r="B64" s="8" t="s">
        <v>61</v>
      </c>
      <c r="C64" s="9">
        <v>37600</v>
      </c>
      <c r="D64" s="10" t="s">
        <v>14</v>
      </c>
      <c r="E64" s="10" t="s">
        <v>15</v>
      </c>
      <c r="F64" s="11">
        <f t="shared" si="0"/>
        <v>15421.464541155465</v>
      </c>
      <c r="G64" s="11">
        <f t="shared" si="1"/>
        <v>22178.535458844537</v>
      </c>
      <c r="H64" s="9"/>
    </row>
    <row r="65" ht="14.25" customHeight="1">
      <c r="A65" s="7">
        <v>45891</v>
      </c>
      <c r="B65" s="8" t="s">
        <v>16</v>
      </c>
      <c r="C65" s="9">
        <v>10500</v>
      </c>
      <c r="D65" s="10" t="s">
        <v>14</v>
      </c>
      <c r="E65" s="10" t="s">
        <v>15</v>
      </c>
      <c r="F65" s="11">
        <f t="shared" si="0"/>
        <v>4306.5260021843715</v>
      </c>
      <c r="G65" s="11">
        <f t="shared" si="1"/>
        <v>6193.4739978156285</v>
      </c>
      <c r="H65" s="9" t="s">
        <v>59</v>
      </c>
    </row>
    <row r="66" ht="14.25" customHeight="1">
      <c r="A66" s="7">
        <v>45897</v>
      </c>
      <c r="B66" s="8" t="s">
        <v>61</v>
      </c>
      <c r="C66" s="9">
        <v>35580</v>
      </c>
      <c r="D66" s="10" t="s">
        <v>14</v>
      </c>
      <c r="E66" s="10" t="s">
        <v>15</v>
      </c>
      <c r="F66" s="11">
        <f t="shared" si="0"/>
        <v>14592.9709674019</v>
      </c>
      <c r="G66" s="11">
        <f t="shared" si="1"/>
        <v>20987.0290325981</v>
      </c>
      <c r="H66" s="9"/>
    </row>
    <row r="67" ht="14.25" customHeight="1">
      <c r="A67" s="7">
        <v>45899</v>
      </c>
      <c r="B67" s="8" t="s">
        <v>37</v>
      </c>
      <c r="C67" s="9">
        <v>12000</v>
      </c>
      <c r="D67" s="10" t="s">
        <v>14</v>
      </c>
      <c r="E67" s="10" t="s">
        <v>15</v>
      </c>
      <c r="F67" s="11">
        <f t="shared" si="0"/>
        <v>4921.7440024964244</v>
      </c>
      <c r="G67" s="11">
        <f t="shared" si="1"/>
        <v>7078.2559975035756</v>
      </c>
      <c r="H67" s="9"/>
    </row>
    <row r="68" ht="14.25" customHeight="1">
      <c r="A68" s="7">
        <v>45899</v>
      </c>
      <c r="B68" s="8" t="s">
        <v>36</v>
      </c>
      <c r="C68" s="9">
        <v>13404</v>
      </c>
      <c r="D68" s="10" t="s">
        <v>20</v>
      </c>
      <c r="E68" s="10" t="s">
        <v>15</v>
      </c>
      <c r="F68" s="11">
        <f t="shared" si="0"/>
        <v>5497.5880507885067</v>
      </c>
      <c r="G68" s="11">
        <f t="shared" si="1"/>
        <v>7906.4119492114933</v>
      </c>
      <c r="H68" s="9"/>
    </row>
    <row r="69" ht="14.25" customHeight="1">
      <c r="A69" s="7">
        <v>45899</v>
      </c>
      <c r="B69" s="8" t="s">
        <v>19</v>
      </c>
      <c r="C69" s="9">
        <v>9460.2</v>
      </c>
      <c r="D69" s="10" t="s">
        <v>20</v>
      </c>
      <c r="E69" s="10" t="s">
        <v>15</v>
      </c>
      <c r="F69" s="11">
        <f t="shared" si="0"/>
        <v>3880.0568843680567</v>
      </c>
      <c r="G69" s="11">
        <f t="shared" si="1"/>
        <v>5580.1431156319441</v>
      </c>
      <c r="H69" s="9"/>
    </row>
    <row r="70" ht="14.25" customHeight="1">
      <c r="A70" s="7">
        <v>45899</v>
      </c>
      <c r="B70" s="8" t="s">
        <v>27</v>
      </c>
      <c r="C70" s="9">
        <v>10200</v>
      </c>
      <c r="D70" s="10" t="s">
        <v>20</v>
      </c>
      <c r="E70" s="10" t="s">
        <v>15</v>
      </c>
      <c r="F70" s="11">
        <f t="shared" si="0"/>
        <v>4183.4824021219611</v>
      </c>
      <c r="G70" s="11">
        <f t="shared" si="1"/>
        <v>6016.5175978780389</v>
      </c>
      <c r="H70" s="9"/>
    </row>
    <row r="71" ht="14.25" customHeight="1">
      <c r="A71" s="7">
        <v>45900</v>
      </c>
      <c r="B71" s="8" t="s">
        <v>61</v>
      </c>
      <c r="C71" s="9">
        <v>16525</v>
      </c>
      <c r="D71" s="10" t="s">
        <v>20</v>
      </c>
      <c r="E71" s="10" t="s">
        <v>15</v>
      </c>
      <c r="F71" s="11">
        <f t="shared" si="0"/>
        <v>6777.6516367711183</v>
      </c>
      <c r="G71" s="11">
        <f t="shared" si="1"/>
        <v>9747.3483632288826</v>
      </c>
      <c r="H71" s="9"/>
    </row>
    <row r="72" ht="14.25" customHeight="1">
      <c r="A72" s="7">
        <v>45900</v>
      </c>
      <c r="B72" s="8" t="s">
        <v>61</v>
      </c>
      <c r="C72" s="9">
        <v>44190</v>
      </c>
      <c r="D72" s="10" t="s">
        <v>14</v>
      </c>
      <c r="E72" s="10" t="s">
        <v>15</v>
      </c>
      <c r="F72" s="11">
        <f t="shared" si="0"/>
        <v>18124.322289193085</v>
      </c>
      <c r="G72" s="11">
        <f t="shared" si="1"/>
        <v>26065.677710806915</v>
      </c>
      <c r="H72" s="9"/>
    </row>
    <row r="73" ht="14.25" customHeight="1">
      <c r="A73" s="7">
        <v>45900</v>
      </c>
      <c r="B73" s="8" t="s">
        <v>46</v>
      </c>
      <c r="C73" s="9">
        <v>85000</v>
      </c>
      <c r="D73" s="10" t="s">
        <v>20</v>
      </c>
      <c r="E73" s="10" t="s">
        <v>15</v>
      </c>
      <c r="F73" s="11">
        <f t="shared" si="0"/>
        <v>0</v>
      </c>
      <c r="G73" s="11">
        <f t="shared" si="1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0"/>
        <v>0</v>
      </c>
      <c r="G74" s="11">
        <f t="shared" si="1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0"/>
        <v>0</v>
      </c>
      <c r="G75" s="11">
        <f t="shared" si="1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0"/>
        <v>0</v>
      </c>
      <c r="G76" s="11">
        <f t="shared" si="1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0"/>
        <v>0</v>
      </c>
      <c r="G77" s="11">
        <f t="shared" si="1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0"/>
        <v>0</v>
      </c>
      <c r="G78" s="11">
        <f t="shared" si="1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0"/>
        <v>0</v>
      </c>
      <c r="G79" s="11">
        <f t="shared" si="1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0"/>
        <v>0</v>
      </c>
      <c r="G80" s="11">
        <f t="shared" si="1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0"/>
        <v>0</v>
      </c>
      <c r="G81" s="11">
        <f t="shared" si="1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0"/>
        <v>0</v>
      </c>
      <c r="G82" s="11">
        <f t="shared" si="1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0"/>
        <v>0</v>
      </c>
      <c r="G83" s="11">
        <f t="shared" si="1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0"/>
        <v>0</v>
      </c>
      <c r="G84" s="11">
        <f t="shared" si="1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0"/>
        <v>0</v>
      </c>
      <c r="G85" s="11">
        <f t="shared" si="1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0"/>
        <v>0</v>
      </c>
      <c r="G86" s="11">
        <f t="shared" si="1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0"/>
        <v>0</v>
      </c>
      <c r="G87" s="11">
        <f t="shared" si="1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0"/>
        <v>0</v>
      </c>
      <c r="G88" s="11">
        <f t="shared" si="1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0"/>
        <v>0</v>
      </c>
      <c r="G89" s="11">
        <f t="shared" si="1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0"/>
        <v>0</v>
      </c>
      <c r="G90" s="11">
        <f t="shared" si="1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0"/>
        <v>0</v>
      </c>
      <c r="G91" s="11">
        <f t="shared" si="1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0"/>
        <v>0</v>
      </c>
      <c r="G92" s="11">
        <f t="shared" si="1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0"/>
        <v>0</v>
      </c>
      <c r="G93" s="11">
        <f t="shared" si="1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0"/>
        <v>0</v>
      </c>
      <c r="G94" s="11">
        <f t="shared" si="1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0"/>
        <v>0</v>
      </c>
      <c r="G95" s="11">
        <f t="shared" si="1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0"/>
        <v>0</v>
      </c>
      <c r="G96" s="11">
        <f t="shared" si="1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0"/>
        <v>0</v>
      </c>
      <c r="G97" s="11">
        <f t="shared" si="1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0"/>
        <v>0</v>
      </c>
      <c r="G98" s="11">
        <f t="shared" si="1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0"/>
        <v>0</v>
      </c>
      <c r="G99" s="11">
        <f t="shared" si="1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0"/>
        <v>0</v>
      </c>
      <c r="G100" s="11">
        <f t="shared" si="1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 D4:D6 D8:D50" xr:uid="{00000000-0002-0000-0200-000000000000}">
      <formula1>Quien</formula1>
    </dataValidation>
    <dataValidation type="list" allowBlank="1" showErrorMessage="1" sqref="E2 E4:E6 E8:E50" xr:uid="{00000000-0002-0000-0200-000001000000}">
      <formula1>Proporcional</formula1>
    </dataValidation>
    <dataValidation type="list" allowBlank="1" showErrorMessage="1" sqref="B2 B4:B6 B8:B50" xr:uid="{00000000-0002-0000-0200-000002000000}">
      <formula1>Tipo</formula1>
    </dataValidation>
    <dataValidation type="decimal" allowBlank="1" showErrorMessage="1" sqref="C2 C4:C6 C8:C50" xr:uid="{00000000-0002-0000-0200-000003000000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28"/>
  <dimension ref="A1:N100"/>
  <sheetViews>
    <sheetView zoomScale="85" zoomScaleNormal="85" workbookViewId="0">
      <selection activeCell="K7" sqref="K7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2.90625" customWidth="1"/>
    <col min="6" max="7" hidden="1" width="12.90625" customWidth="1"/>
    <col min="8" max="8" bestFit="1" width="21.6328125" customWidth="1"/>
    <col min="9" max="9" width="3.7265625" customWidth="1"/>
    <col min="10" max="10" bestFit="1" width="16.36328125" customWidth="1"/>
    <col min="11" max="11" width="13.7265625" customWidth="1"/>
    <col min="12" max="12" width="13.45312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45839</v>
      </c>
      <c r="B2" s="8" t="s">
        <v>16</v>
      </c>
      <c r="C2" s="9">
        <v>50000</v>
      </c>
      <c r="D2" s="10" t="s">
        <v>14</v>
      </c>
      <c r="E2" s="10" t="s">
        <v>15</v>
      </c>
      <c r="F2" s="11">
        <f ref="F2:F100" t="shared" si="0">IF(B2="Consolidación",0,IF(E2="NO",C2*0.5,C2*$K$10))</f>
        <v>20280.85708540124</v>
      </c>
      <c r="G2" s="11">
        <f ref="G2:G100" t="shared" si="1">IF(B2="Consolidación",0,IF(E2="NO",C2*0.5,C2*$K$11))</f>
        <v>29719.14291459876</v>
      </c>
      <c r="H2" s="9" t="s">
        <v>103</v>
      </c>
      <c r="I2" s="11"/>
      <c r="J2" s="12">
        <f>SUM(K2,L2)</f>
        <v>2356960.84</v>
      </c>
      <c r="K2" s="12">
        <f>SUMIF(D2:D100,"Andrea",C2:C100)-SUMIFS(C2:C100,B2:B100,"Consolidación",D2:D100,"Juan")</f>
        <v>1042012.0900000001</v>
      </c>
      <c r="L2" s="12">
        <f>SUMIF(D2:D100,"Juan",C2:C100)-SUMIFS(C2:C100,B2:B100,"Consolidación",D2:D100,"Andrea")</f>
        <v>1314948.75</v>
      </c>
      <c r="M2" s="13">
        <f>SUM(F2:F500)-K2+'Agosto-25'!M2</f>
        <v>-16677.267355440417</v>
      </c>
      <c r="N2" s="13">
        <f>SUM(G2:G500)-L2+'Agosto-25'!N2</f>
        <v>16677.267355440883</v>
      </c>
    </row>
    <row r="3" ht="14.25" customHeight="1">
      <c r="A3" s="7">
        <v>45839</v>
      </c>
      <c r="B3" s="8" t="s">
        <v>16</v>
      </c>
      <c r="C3" s="9">
        <v>5854</v>
      </c>
      <c r="D3" s="10" t="s">
        <v>14</v>
      </c>
      <c r="E3" s="10" t="s">
        <v>15</v>
      </c>
      <c r="F3" s="11">
        <f t="shared" si="0"/>
        <v>2374.4827475587772</v>
      </c>
      <c r="G3" s="11">
        <f t="shared" si="1"/>
        <v>3479.5172524412228</v>
      </c>
      <c r="H3" s="9" t="s">
        <v>104</v>
      </c>
      <c r="I3" s="11"/>
    </row>
    <row r="4" ht="14.25" customHeight="1">
      <c r="A4" s="7">
        <v>45839</v>
      </c>
      <c r="B4" s="8" t="s">
        <v>16</v>
      </c>
      <c r="C4" s="9">
        <v>51637.11</v>
      </c>
      <c r="D4" s="10" t="s">
        <v>14</v>
      </c>
      <c r="E4" s="10" t="s">
        <v>15</v>
      </c>
      <c r="F4" s="11">
        <f t="shared" si="0"/>
        <v>20944.896964262862</v>
      </c>
      <c r="G4" s="11">
        <f t="shared" si="1"/>
        <v>30692.213035737139</v>
      </c>
      <c r="H4" s="9" t="s">
        <v>105</v>
      </c>
      <c r="I4" s="11"/>
    </row>
    <row r="5" ht="14.25" customHeight="1">
      <c r="A5" s="7">
        <v>45870</v>
      </c>
      <c r="B5" s="8" t="s">
        <v>16</v>
      </c>
      <c r="C5" s="9">
        <v>28291.33</v>
      </c>
      <c r="D5" s="10" t="s">
        <v>14</v>
      </c>
      <c r="E5" s="10" t="s">
        <v>15</v>
      </c>
      <c r="F5" s="11">
        <f t="shared" si="0"/>
        <v>11475.448409718492</v>
      </c>
      <c r="G5" s="11">
        <f t="shared" si="1"/>
        <v>16815.881590281508</v>
      </c>
      <c r="H5" s="9" t="s">
        <v>106</v>
      </c>
      <c r="I5" s="11"/>
    </row>
    <row r="6" ht="14.25" customHeight="1">
      <c r="A6" s="7">
        <v>45870</v>
      </c>
      <c r="B6" s="8" t="s">
        <v>13</v>
      </c>
      <c r="C6" s="9">
        <v>24334</v>
      </c>
      <c r="D6" s="10" t="s">
        <v>14</v>
      </c>
      <c r="E6" s="10" t="s">
        <v>15</v>
      </c>
      <c r="F6" s="11">
        <f t="shared" si="0"/>
        <v>9870.2875263230744</v>
      </c>
      <c r="G6" s="11">
        <f t="shared" si="1"/>
        <v>14463.712473676926</v>
      </c>
      <c r="H6" s="9" t="s">
        <v>107</v>
      </c>
      <c r="I6" s="11"/>
    </row>
    <row r="7" ht="14.25" customHeight="1">
      <c r="A7" s="7">
        <v>45870</v>
      </c>
      <c r="B7" s="8" t="s">
        <v>16</v>
      </c>
      <c r="C7" s="9">
        <v>7321.33</v>
      </c>
      <c r="D7" s="10" t="s">
        <v>14</v>
      </c>
      <c r="E7" s="10" t="s">
        <v>15</v>
      </c>
      <c r="F7" s="11">
        <f t="shared" si="0"/>
        <v>2969.6569481012129</v>
      </c>
      <c r="G7" s="11">
        <f t="shared" si="1"/>
        <v>4351.673051898787</v>
      </c>
      <c r="H7" s="9" t="s">
        <v>108</v>
      </c>
      <c r="I7" s="11"/>
      <c r="J7" s="10" t="s">
        <v>24</v>
      </c>
      <c r="K7" s="14">
        <v>1863741</v>
      </c>
    </row>
    <row r="8" ht="14.25" customHeight="1">
      <c r="A8" s="7">
        <v>45870</v>
      </c>
      <c r="B8" s="8" t="s">
        <v>16</v>
      </c>
      <c r="C8" s="9">
        <v>15831</v>
      </c>
      <c r="D8" s="10" t="s">
        <v>14</v>
      </c>
      <c r="E8" s="10" t="s">
        <v>15</v>
      </c>
      <c r="F8" s="11">
        <f t="shared" si="0"/>
        <v>6421.32497037974</v>
      </c>
      <c r="G8" s="11">
        <f t="shared" si="1"/>
        <v>9409.67502962026</v>
      </c>
      <c r="H8" s="9" t="s">
        <v>109</v>
      </c>
      <c r="I8" s="11"/>
      <c r="J8" s="10" t="s">
        <v>25</v>
      </c>
      <c r="K8" s="14">
        <v>2731087</v>
      </c>
    </row>
    <row r="9" ht="14.25" customHeight="1">
      <c r="A9" s="7">
        <v>45842</v>
      </c>
      <c r="B9" s="8" t="s">
        <v>16</v>
      </c>
      <c r="C9" s="9">
        <v>32500</v>
      </c>
      <c r="D9" s="10" t="s">
        <v>20</v>
      </c>
      <c r="E9" s="10" t="s">
        <v>15</v>
      </c>
      <c r="F9" s="11">
        <f t="shared" si="0"/>
        <v>13182.557105510805</v>
      </c>
      <c r="G9" s="11">
        <f t="shared" si="1"/>
        <v>19317.442894489195</v>
      </c>
      <c r="H9" s="9" t="s">
        <v>110</v>
      </c>
      <c r="I9" s="11"/>
      <c r="J9" s="10" t="s">
        <v>8</v>
      </c>
      <c r="K9" s="14">
        <f>SUM(K7:K8)</f>
        <v>4594828</v>
      </c>
    </row>
    <row r="10" ht="14.25" customHeight="1">
      <c r="A10" s="7">
        <v>45870</v>
      </c>
      <c r="B10" s="8" t="s">
        <v>68</v>
      </c>
      <c r="C10" s="9">
        <v>22148.33</v>
      </c>
      <c r="D10" s="10" t="s">
        <v>14</v>
      </c>
      <c r="E10" s="10" t="s">
        <v>15</v>
      </c>
      <c r="F10" s="11">
        <f t="shared" si="0"/>
        <v>8983.7423082060977</v>
      </c>
      <c r="G10" s="11">
        <f t="shared" si="1"/>
        <v>13164.587691793904</v>
      </c>
      <c r="H10" s="9" t="s">
        <v>111</v>
      </c>
      <c r="I10" s="11"/>
      <c r="J10" s="10" t="s">
        <v>28</v>
      </c>
      <c r="K10" s="15">
        <f>K7/K9</f>
        <v>0.40561714170802476</v>
      </c>
    </row>
    <row r="11" ht="14.25" customHeight="1">
      <c r="A11" s="7">
        <v>45870</v>
      </c>
      <c r="B11" s="8" t="s">
        <v>16</v>
      </c>
      <c r="C11" s="9">
        <v>31333</v>
      </c>
      <c r="D11" s="10" t="s">
        <v>20</v>
      </c>
      <c r="E11" s="10" t="s">
        <v>15</v>
      </c>
      <c r="F11" s="11">
        <f t="shared" si="0"/>
        <v>12709.20190113754</v>
      </c>
      <c r="G11" s="11">
        <f t="shared" si="1"/>
        <v>18623.798098862459</v>
      </c>
      <c r="H11" s="9" t="s">
        <v>112</v>
      </c>
      <c r="I11" s="11"/>
      <c r="J11" s="10" t="s">
        <v>30</v>
      </c>
      <c r="K11" s="15">
        <f>K8/K9</f>
        <v>0.59438285829197524</v>
      </c>
    </row>
    <row r="12" ht="14.25" customHeight="1">
      <c r="A12" s="7">
        <v>45870</v>
      </c>
      <c r="B12" s="8" t="s">
        <v>19</v>
      </c>
      <c r="C12" s="9">
        <v>4652</v>
      </c>
      <c r="D12" s="10" t="s">
        <v>20</v>
      </c>
      <c r="E12" s="10" t="s">
        <v>15</v>
      </c>
      <c r="F12" s="11">
        <f t="shared" si="0"/>
        <v>1886.9309432257312</v>
      </c>
      <c r="G12" s="11">
        <f t="shared" si="1"/>
        <v>2765.0690567742686</v>
      </c>
      <c r="H12" s="9" t="s">
        <v>113</v>
      </c>
      <c r="I12" s="11"/>
    </row>
    <row r="13" ht="14.25" customHeight="1">
      <c r="A13" s="7">
        <v>45870</v>
      </c>
      <c r="B13" s="8" t="s">
        <v>68</v>
      </c>
      <c r="C13" s="9">
        <v>27910</v>
      </c>
      <c r="D13" s="10" t="s">
        <v>14</v>
      </c>
      <c r="E13" s="10" t="s">
        <v>15</v>
      </c>
      <c r="F13" s="11">
        <f t="shared" si="0"/>
        <v>11320.774425070971</v>
      </c>
      <c r="G13" s="11">
        <f t="shared" si="1"/>
        <v>16589.225574929027</v>
      </c>
      <c r="H13" s="9" t="s">
        <v>114</v>
      </c>
      <c r="I13" s="11"/>
    </row>
    <row r="14" ht="14.25" customHeight="1">
      <c r="A14" s="7">
        <v>45870</v>
      </c>
      <c r="B14" s="8" t="s">
        <v>68</v>
      </c>
      <c r="C14" s="9">
        <v>11780</v>
      </c>
      <c r="D14" s="10" t="s">
        <v>14</v>
      </c>
      <c r="E14" s="10" t="s">
        <v>15</v>
      </c>
      <c r="F14" s="11">
        <f t="shared" si="0"/>
        <v>4778.169929320532</v>
      </c>
      <c r="G14" s="11">
        <f t="shared" si="1"/>
        <v>7001.830070679468</v>
      </c>
      <c r="H14" s="9" t="s">
        <v>115</v>
      </c>
      <c r="I14" s="11"/>
    </row>
    <row r="15" ht="14.25" customHeight="1">
      <c r="A15" s="7">
        <v>45870</v>
      </c>
      <c r="B15" s="8" t="s">
        <v>16</v>
      </c>
      <c r="C15" s="9">
        <v>7667.78</v>
      </c>
      <c r="D15" s="10" t="s">
        <v>20</v>
      </c>
      <c r="E15" s="10" t="s">
        <v>15</v>
      </c>
      <c r="F15" s="11">
        <f t="shared" si="0"/>
        <v>3110.1830068459581</v>
      </c>
      <c r="G15" s="11">
        <f t="shared" si="1"/>
        <v>4557.5969931540421</v>
      </c>
      <c r="H15" s="9" t="s">
        <v>113</v>
      </c>
      <c r="I15" s="11"/>
      <c r="K15" s="16"/>
    </row>
    <row r="16" ht="14.25" customHeight="1">
      <c r="A16" s="7">
        <v>45870</v>
      </c>
      <c r="B16" s="8" t="s">
        <v>16</v>
      </c>
      <c r="C16" s="9">
        <v>20216.67</v>
      </c>
      <c r="D16" s="10" t="s">
        <v>20</v>
      </c>
      <c r="E16" s="10" t="s">
        <v>15</v>
      </c>
      <c r="F16" s="11">
        <f t="shared" si="0"/>
        <v>8200.2279002543728</v>
      </c>
      <c r="G16" s="11">
        <f t="shared" si="1"/>
        <v>12016.442099745625</v>
      </c>
      <c r="H16" s="9" t="s">
        <v>116</v>
      </c>
      <c r="I16" s="11"/>
    </row>
    <row r="17" ht="14.25" customHeight="1">
      <c r="A17" s="7">
        <v>45870</v>
      </c>
      <c r="B17" s="8" t="s">
        <v>16</v>
      </c>
      <c r="C17" s="9">
        <v>25213</v>
      </c>
      <c r="D17" s="10" t="s">
        <v>20</v>
      </c>
      <c r="E17" s="10" t="s">
        <v>15</v>
      </c>
      <c r="F17" s="11">
        <f t="shared" si="0"/>
        <v>10226.824993884429</v>
      </c>
      <c r="G17" s="11">
        <f t="shared" si="1"/>
        <v>14986.175006115571</v>
      </c>
      <c r="H17" s="9" t="s">
        <v>117</v>
      </c>
      <c r="I17" s="11"/>
    </row>
    <row r="18" ht="14.25" customHeight="1">
      <c r="A18" s="7">
        <v>45886</v>
      </c>
      <c r="B18" s="8" t="s">
        <v>16</v>
      </c>
      <c r="C18" s="9">
        <v>21000</v>
      </c>
      <c r="D18" s="10" t="s">
        <v>20</v>
      </c>
      <c r="E18" s="10" t="s">
        <v>15</v>
      </c>
      <c r="F18" s="11">
        <f t="shared" si="0"/>
        <v>8517.95997586852</v>
      </c>
      <c r="G18" s="11">
        <f t="shared" si="1"/>
        <v>12482.04002413148</v>
      </c>
      <c r="H18" s="9" t="s">
        <v>118</v>
      </c>
      <c r="I18" s="11"/>
    </row>
    <row r="19" ht="14.25" customHeight="1">
      <c r="A19" s="7">
        <v>45892</v>
      </c>
      <c r="B19" s="8" t="s">
        <v>16</v>
      </c>
      <c r="C19" s="9">
        <v>5617</v>
      </c>
      <c r="D19" s="10" t="s">
        <v>20</v>
      </c>
      <c r="E19" s="10" t="s">
        <v>15</v>
      </c>
      <c r="F19" s="11">
        <f t="shared" si="0"/>
        <v>2278.3514849739749</v>
      </c>
      <c r="G19" s="11">
        <f t="shared" si="1"/>
        <v>3338.6485150260251</v>
      </c>
      <c r="H19" s="9" t="s">
        <v>113</v>
      </c>
      <c r="I19" s="11"/>
    </row>
    <row r="20" ht="14.25" customHeight="1">
      <c r="A20" s="7">
        <v>45901</v>
      </c>
      <c r="B20" s="8" t="s">
        <v>51</v>
      </c>
      <c r="C20" s="9">
        <v>266380.04</v>
      </c>
      <c r="D20" s="10" t="s">
        <v>14</v>
      </c>
      <c r="E20" s="10" t="s">
        <v>15</v>
      </c>
      <c r="F20" s="11">
        <f t="shared" si="0"/>
        <v>108048.3104328693</v>
      </c>
      <c r="G20" s="11">
        <f t="shared" si="1"/>
        <v>158331.72956713068</v>
      </c>
      <c r="H20" s="9"/>
      <c r="I20" s="11"/>
    </row>
    <row r="21" ht="14.25" customHeight="1">
      <c r="A21" s="7">
        <v>45901</v>
      </c>
      <c r="B21" s="8" t="s">
        <v>49</v>
      </c>
      <c r="C21" s="9">
        <v>52799.9</v>
      </c>
      <c r="D21" s="10" t="s">
        <v>14</v>
      </c>
      <c r="E21" s="10" t="s">
        <v>15</v>
      </c>
      <c r="F21" s="11">
        <f t="shared" si="0"/>
        <v>21416.544520469539</v>
      </c>
      <c r="G21" s="11">
        <f t="shared" si="1"/>
        <v>31383.355479530463</v>
      </c>
      <c r="H21" s="9"/>
      <c r="I21" s="11"/>
    </row>
    <row r="22" ht="14.25" customHeight="1">
      <c r="A22" s="7">
        <v>45901</v>
      </c>
      <c r="B22" s="8" t="s">
        <v>52</v>
      </c>
      <c r="C22" s="9">
        <v>9971.6</v>
      </c>
      <c r="D22" s="10" t="s">
        <v>14</v>
      </c>
      <c r="E22" s="10" t="s">
        <v>15</v>
      </c>
      <c r="F22" s="11">
        <f t="shared" si="0"/>
        <v>4044.65189025574</v>
      </c>
      <c r="G22" s="11">
        <f t="shared" si="1"/>
        <v>5926.94810974426</v>
      </c>
      <c r="H22" s="9"/>
      <c r="I22" s="11"/>
    </row>
    <row r="23" ht="14.25" customHeight="1">
      <c r="A23" s="7">
        <v>45901</v>
      </c>
      <c r="B23" s="8" t="s">
        <v>99</v>
      </c>
      <c r="C23" s="9">
        <v>35956.61</v>
      </c>
      <c r="D23" s="10" t="s">
        <v>14</v>
      </c>
      <c r="E23" s="10" t="s">
        <v>15</v>
      </c>
      <c r="F23" s="11">
        <f t="shared" si="0"/>
        <v>14584.61737371018</v>
      </c>
      <c r="G23" s="11">
        <f t="shared" si="1"/>
        <v>21371.992626289819</v>
      </c>
      <c r="H23" s="9"/>
      <c r="I23" s="11"/>
    </row>
    <row r="24" ht="14.25" customHeight="1">
      <c r="A24" s="7">
        <v>45901</v>
      </c>
      <c r="B24" s="8" t="s">
        <v>16</v>
      </c>
      <c r="C24" s="9">
        <v>9000</v>
      </c>
      <c r="D24" s="10" t="s">
        <v>20</v>
      </c>
      <c r="E24" s="10" t="s">
        <v>15</v>
      </c>
      <c r="F24" s="11">
        <f t="shared" si="0"/>
        <v>3650.5542753722229</v>
      </c>
      <c r="G24" s="11">
        <f t="shared" si="1"/>
        <v>5349.4457246277771</v>
      </c>
      <c r="H24" s="9" t="s">
        <v>76</v>
      </c>
      <c r="I24" s="11"/>
    </row>
    <row r="25" ht="14.25" customHeight="1">
      <c r="A25" s="7">
        <v>45902</v>
      </c>
      <c r="B25" s="8" t="s">
        <v>16</v>
      </c>
      <c r="C25" s="9">
        <v>80000</v>
      </c>
      <c r="D25" s="10" t="s">
        <v>14</v>
      </c>
      <c r="E25" s="10" t="s">
        <v>15</v>
      </c>
      <c r="F25" s="11">
        <f t="shared" si="0"/>
        <v>32449.37133664198</v>
      </c>
      <c r="G25" s="11">
        <f t="shared" si="1"/>
        <v>47550.628663358017</v>
      </c>
      <c r="H25" s="9" t="s">
        <v>119</v>
      </c>
      <c r="I25" s="11"/>
    </row>
    <row r="26" ht="14.25" customHeight="1">
      <c r="A26" s="7">
        <v>45902</v>
      </c>
      <c r="B26" s="8" t="s">
        <v>16</v>
      </c>
      <c r="C26" s="9">
        <v>6850</v>
      </c>
      <c r="D26" s="10" t="s">
        <v>20</v>
      </c>
      <c r="E26" s="10" t="s">
        <v>15</v>
      </c>
      <c r="F26" s="11">
        <f t="shared" si="0"/>
        <v>2778.4774206999696</v>
      </c>
      <c r="G26" s="11">
        <f t="shared" si="1"/>
        <v>4071.5225793000304</v>
      </c>
      <c r="H26" s="9"/>
      <c r="I26" s="11"/>
    </row>
    <row r="27" ht="14.25" customHeight="1">
      <c r="A27" s="7">
        <v>45904</v>
      </c>
      <c r="B27" s="8" t="s">
        <v>27</v>
      </c>
      <c r="C27" s="9">
        <v>122522</v>
      </c>
      <c r="D27" s="10" t="s">
        <v>20</v>
      </c>
      <c r="E27" s="10" t="s">
        <v>15</v>
      </c>
      <c r="F27" s="11">
        <f t="shared" si="0"/>
        <v>49697.02343635061</v>
      </c>
      <c r="G27" s="11">
        <f t="shared" si="1"/>
        <v>72824.976563649383</v>
      </c>
      <c r="H27" s="9"/>
      <c r="I27" s="11"/>
    </row>
    <row r="28" ht="14.25" customHeight="1">
      <c r="A28" s="7">
        <v>45903</v>
      </c>
      <c r="B28" s="8" t="s">
        <v>61</v>
      </c>
      <c r="C28" s="9">
        <v>46860</v>
      </c>
      <c r="D28" s="10" t="s">
        <v>20</v>
      </c>
      <c r="E28" s="10" t="s">
        <v>15</v>
      </c>
      <c r="F28" s="11">
        <f t="shared" si="0"/>
        <v>19007.21926043804</v>
      </c>
      <c r="G28" s="11">
        <f t="shared" si="1"/>
        <v>27852.78073956196</v>
      </c>
      <c r="H28" s="9"/>
    </row>
    <row r="29" ht="14.25" customHeight="1">
      <c r="A29" s="7">
        <v>45904</v>
      </c>
      <c r="B29" s="8" t="s">
        <v>46</v>
      </c>
      <c r="C29" s="9">
        <v>40000</v>
      </c>
      <c r="D29" s="10" t="s">
        <v>20</v>
      </c>
      <c r="E29" s="10" t="s">
        <v>15</v>
      </c>
      <c r="F29" s="11">
        <f t="shared" si="0"/>
        <v>0</v>
      </c>
      <c r="G29" s="11">
        <f t="shared" si="1"/>
        <v>0</v>
      </c>
      <c r="H29" s="9"/>
    </row>
    <row r="30" ht="14.25" customHeight="1">
      <c r="A30" s="7">
        <v>45903</v>
      </c>
      <c r="B30" s="8" t="s">
        <v>16</v>
      </c>
      <c r="C30" s="9">
        <v>9900</v>
      </c>
      <c r="D30" s="10" t="s">
        <v>14</v>
      </c>
      <c r="E30" s="10" t="s">
        <v>15</v>
      </c>
      <c r="F30" s="11">
        <f t="shared" si="0"/>
        <v>4015.6097029094453</v>
      </c>
      <c r="G30" s="11">
        <f t="shared" si="1"/>
        <v>5884.3902970905547</v>
      </c>
      <c r="H30" s="9" t="s">
        <v>60</v>
      </c>
    </row>
    <row r="31" ht="14.25" customHeight="1">
      <c r="A31" s="7">
        <v>45905</v>
      </c>
      <c r="B31" s="8" t="s">
        <v>46</v>
      </c>
      <c r="C31" s="9">
        <v>15000</v>
      </c>
      <c r="D31" s="10" t="s">
        <v>20</v>
      </c>
      <c r="E31" s="10" t="s">
        <v>15</v>
      </c>
      <c r="F31" s="11">
        <f t="shared" si="0"/>
        <v>0</v>
      </c>
      <c r="G31" s="11">
        <f t="shared" si="1"/>
        <v>0</v>
      </c>
      <c r="H31" s="9"/>
    </row>
    <row r="32" ht="14.25" customHeight="1">
      <c r="A32" s="7">
        <v>45904</v>
      </c>
      <c r="B32" s="8" t="s">
        <v>79</v>
      </c>
      <c r="C32" s="9">
        <v>33000</v>
      </c>
      <c r="D32" s="10" t="s">
        <v>20</v>
      </c>
      <c r="E32" s="10" t="s">
        <v>15</v>
      </c>
      <c r="F32" s="11">
        <f t="shared" si="0"/>
        <v>13385.365676364818</v>
      </c>
      <c r="G32" s="11">
        <f t="shared" si="1"/>
        <v>19614.634323635182</v>
      </c>
      <c r="H32" s="9" t="s">
        <v>53</v>
      </c>
    </row>
    <row r="33" ht="14.25" customHeight="1">
      <c r="A33" s="7">
        <v>45905</v>
      </c>
      <c r="B33" s="8" t="s">
        <v>16</v>
      </c>
      <c r="C33" s="9">
        <v>28799.28</v>
      </c>
      <c r="D33" s="10" t="s">
        <v>14</v>
      </c>
      <c r="E33" s="10" t="s">
        <v>15</v>
      </c>
      <c r="F33" s="11">
        <f t="shared" si="0"/>
        <v>11681.481636849083</v>
      </c>
      <c r="G33" s="11">
        <f t="shared" si="1"/>
        <v>17117.798363150916</v>
      </c>
      <c r="H33" s="9" t="s">
        <v>120</v>
      </c>
    </row>
    <row r="34" ht="14.25" customHeight="1">
      <c r="A34" s="7">
        <v>45905</v>
      </c>
      <c r="B34" s="8" t="s">
        <v>36</v>
      </c>
      <c r="C34" s="9">
        <v>85777</v>
      </c>
      <c r="D34" s="10" t="s">
        <v>20</v>
      </c>
      <c r="E34" s="10" t="s">
        <v>15</v>
      </c>
      <c r="F34" s="11">
        <f t="shared" si="0"/>
        <v>34792.621564289242</v>
      </c>
      <c r="G34" s="11">
        <f t="shared" si="1"/>
        <v>50984.378435710758</v>
      </c>
      <c r="H34" s="9"/>
    </row>
    <row r="35" ht="14.25" customHeight="1">
      <c r="A35" s="7">
        <v>45905</v>
      </c>
      <c r="B35" s="8" t="s">
        <v>16</v>
      </c>
      <c r="C35" s="9">
        <v>3400</v>
      </c>
      <c r="D35" s="10" t="s">
        <v>20</v>
      </c>
      <c r="E35" s="10" t="s">
        <v>15</v>
      </c>
      <c r="F35" s="11">
        <f t="shared" si="0"/>
        <v>1379.0982818072841</v>
      </c>
      <c r="G35" s="11">
        <f t="shared" si="1"/>
        <v>2020.9017181927159</v>
      </c>
      <c r="H35" s="9" t="s">
        <v>121</v>
      </c>
    </row>
    <row r="36" ht="14.25" customHeight="1">
      <c r="A36" s="7">
        <v>45905</v>
      </c>
      <c r="B36" s="8" t="s">
        <v>37</v>
      </c>
      <c r="C36" s="9">
        <v>12000</v>
      </c>
      <c r="D36" s="10" t="s">
        <v>14</v>
      </c>
      <c r="E36" s="10" t="s">
        <v>15</v>
      </c>
      <c r="F36" s="11">
        <f t="shared" si="0"/>
        <v>4867.405700496297</v>
      </c>
      <c r="G36" s="11">
        <f t="shared" si="1"/>
        <v>7132.594299503703</v>
      </c>
      <c r="H36" s="9"/>
    </row>
    <row r="37" ht="14.25" customHeight="1">
      <c r="A37" s="7">
        <v>45909</v>
      </c>
      <c r="B37" s="8" t="s">
        <v>122</v>
      </c>
      <c r="C37" s="9">
        <v>18399</v>
      </c>
      <c r="D37" s="10" t="s">
        <v>14</v>
      </c>
      <c r="E37" s="10" t="s">
        <v>15</v>
      </c>
      <c r="F37" s="11">
        <f t="shared" si="0"/>
        <v>7462.9497902859475</v>
      </c>
      <c r="G37" s="11">
        <f t="shared" si="1"/>
        <v>10936.050209714052</v>
      </c>
      <c r="H37" s="9"/>
    </row>
    <row r="38" ht="14.25" customHeight="1">
      <c r="A38" s="7">
        <v>45909</v>
      </c>
      <c r="B38" s="8" t="s">
        <v>123</v>
      </c>
      <c r="C38" s="9">
        <v>6499</v>
      </c>
      <c r="D38" s="10" t="s">
        <v>14</v>
      </c>
      <c r="E38" s="10" t="s">
        <v>15</v>
      </c>
      <c r="F38" s="11">
        <f t="shared" si="0"/>
        <v>2636.1058039604532</v>
      </c>
      <c r="G38" s="11">
        <f t="shared" si="1"/>
        <v>3862.8941960395468</v>
      </c>
      <c r="H38" s="9"/>
    </row>
    <row r="39" ht="14.25" customHeight="1">
      <c r="A39" s="7">
        <v>45909</v>
      </c>
      <c r="B39" s="8" t="s">
        <v>66</v>
      </c>
      <c r="C39" s="9">
        <v>76507.17</v>
      </c>
      <c r="D39" s="10" t="s">
        <v>14</v>
      </c>
      <c r="E39" s="10" t="s">
        <v>15</v>
      </c>
      <c r="F39" s="11">
        <f t="shared" si="0"/>
        <v>31032.61961556994</v>
      </c>
      <c r="G39" s="11">
        <f t="shared" si="1"/>
        <v>45474.550384430055</v>
      </c>
      <c r="H39" s="9"/>
    </row>
    <row r="40" ht="14.25" customHeight="1">
      <c r="A40" s="7">
        <v>45909</v>
      </c>
      <c r="B40" s="8" t="s">
        <v>62</v>
      </c>
      <c r="C40" s="9">
        <v>13913.88</v>
      </c>
      <c r="D40" s="10" t="s">
        <v>14</v>
      </c>
      <c r="E40" s="10" t="s">
        <v>15</v>
      </c>
      <c r="F40" s="11">
        <f t="shared" si="0"/>
        <v>5643.7082356684514</v>
      </c>
      <c r="G40" s="11">
        <f t="shared" si="1"/>
        <v>8270.1717643315478</v>
      </c>
      <c r="H40" s="9"/>
    </row>
    <row r="41" ht="14.25" customHeight="1">
      <c r="A41" s="7">
        <v>45909</v>
      </c>
      <c r="B41" s="8" t="s">
        <v>27</v>
      </c>
      <c r="C41" s="9">
        <v>5272.34</v>
      </c>
      <c r="D41" s="10" t="s">
        <v>20</v>
      </c>
      <c r="E41" s="10" t="s">
        <v>15</v>
      </c>
      <c r="F41" s="11">
        <f t="shared" si="0"/>
        <v>2138.5514809128872</v>
      </c>
      <c r="G41" s="11">
        <f t="shared" si="1"/>
        <v>3133.7885190871129</v>
      </c>
      <c r="H41" s="9"/>
    </row>
    <row r="42" ht="14.25" customHeight="1">
      <c r="A42" s="7">
        <v>45909</v>
      </c>
      <c r="B42" s="8" t="s">
        <v>37</v>
      </c>
      <c r="C42" s="9">
        <v>13199.99</v>
      </c>
      <c r="D42" s="10" t="s">
        <v>14</v>
      </c>
      <c r="E42" s="10" t="s">
        <v>15</v>
      </c>
      <c r="F42" s="11">
        <f t="shared" si="0"/>
        <v>5354.1422143745094</v>
      </c>
      <c r="G42" s="11">
        <f t="shared" si="1"/>
        <v>7845.84778562549</v>
      </c>
      <c r="H42" s="9"/>
    </row>
    <row r="43" ht="14.25" customHeight="1">
      <c r="A43" s="7">
        <v>45911</v>
      </c>
      <c r="B43" s="8" t="s">
        <v>27</v>
      </c>
      <c r="C43" s="9">
        <v>106846.42</v>
      </c>
      <c r="D43" s="10" t="s">
        <v>14</v>
      </c>
      <c r="E43" s="10" t="s">
        <v>15</v>
      </c>
      <c r="F43" s="11">
        <f t="shared" si="0"/>
        <v>43338.739482135134</v>
      </c>
      <c r="G43" s="11">
        <f t="shared" si="1"/>
        <v>63507.680517864865</v>
      </c>
      <c r="H43" s="9"/>
    </row>
    <row r="44" ht="14.25" customHeight="1">
      <c r="A44" s="7">
        <v>45911</v>
      </c>
      <c r="B44" s="8" t="s">
        <v>63</v>
      </c>
      <c r="C44" s="9">
        <v>24111.8</v>
      </c>
      <c r="D44" s="10" t="s">
        <v>20</v>
      </c>
      <c r="E44" s="10" t="s">
        <v>15</v>
      </c>
      <c r="F44" s="11">
        <f t="shared" si="0"/>
        <v>9780.159397435551</v>
      </c>
      <c r="G44" s="11">
        <f t="shared" si="1"/>
        <v>14331.640602564448</v>
      </c>
      <c r="H44" s="9"/>
    </row>
    <row r="45" ht="14.25" customHeight="1">
      <c r="A45" s="7">
        <v>45912</v>
      </c>
      <c r="B45" s="8" t="s">
        <v>36</v>
      </c>
      <c r="C45" s="9">
        <v>15570.5</v>
      </c>
      <c r="D45" s="10" t="s">
        <v>20</v>
      </c>
      <c r="E45" s="10" t="s">
        <v>15</v>
      </c>
      <c r="F45" s="11">
        <f t="shared" si="0"/>
        <v>6315.6617049647994</v>
      </c>
      <c r="G45" s="11">
        <f t="shared" si="1"/>
        <v>9254.8382950352</v>
      </c>
      <c r="H45" s="9"/>
    </row>
    <row r="46" ht="14.25" customHeight="1">
      <c r="A46" s="7">
        <v>45912</v>
      </c>
      <c r="B46" s="8" t="s">
        <v>16</v>
      </c>
      <c r="C46" s="9">
        <v>26300</v>
      </c>
      <c r="D46" s="10" t="s">
        <v>20</v>
      </c>
      <c r="E46" s="10" t="s">
        <v>15</v>
      </c>
      <c r="F46" s="11">
        <f t="shared" si="0"/>
        <v>10667.730826921052</v>
      </c>
      <c r="G46" s="11">
        <f t="shared" si="1"/>
        <v>15632.269173078948</v>
      </c>
      <c r="H46" s="9" t="s">
        <v>59</v>
      </c>
    </row>
    <row r="47" ht="14.25" customHeight="1">
      <c r="A47" s="7">
        <v>45912</v>
      </c>
      <c r="B47" s="8" t="s">
        <v>54</v>
      </c>
      <c r="C47" s="9">
        <v>13000</v>
      </c>
      <c r="D47" s="10" t="s">
        <v>20</v>
      </c>
      <c r="E47" s="10" t="s">
        <v>15</v>
      </c>
      <c r="F47" s="11">
        <f t="shared" si="0"/>
        <v>5273.0228422043219</v>
      </c>
      <c r="G47" s="11">
        <f t="shared" si="1"/>
        <v>7726.9771577956781</v>
      </c>
      <c r="H47" s="9"/>
    </row>
    <row r="48" ht="14.25" customHeight="1">
      <c r="A48" s="7">
        <v>45915</v>
      </c>
      <c r="B48" s="8" t="s">
        <v>19</v>
      </c>
      <c r="C48" s="9">
        <v>24040</v>
      </c>
      <c r="D48" s="10" t="s">
        <v>20</v>
      </c>
      <c r="E48" s="10" t="s">
        <v>15</v>
      </c>
      <c r="F48" s="11">
        <f t="shared" si="0"/>
        <v>9751.0360866609153</v>
      </c>
      <c r="G48" s="11">
        <f t="shared" si="1"/>
        <v>14288.963913339085</v>
      </c>
      <c r="H48" s="9"/>
    </row>
    <row r="49" ht="14.25" customHeight="1">
      <c r="A49" s="7">
        <v>45916</v>
      </c>
      <c r="B49" s="8" t="s">
        <v>61</v>
      </c>
      <c r="C49" s="9">
        <v>31043</v>
      </c>
      <c r="D49" s="10" t="s">
        <v>14</v>
      </c>
      <c r="E49" s="10" t="s">
        <v>15</v>
      </c>
      <c r="F49" s="11">
        <f t="shared" si="0"/>
        <v>12591.572930042214</v>
      </c>
      <c r="G49" s="11">
        <f t="shared" si="1"/>
        <v>18451.427069957786</v>
      </c>
      <c r="H49" s="9"/>
    </row>
    <row r="50" ht="14.25" customHeight="1">
      <c r="A50" s="7">
        <v>45917</v>
      </c>
      <c r="B50" s="8" t="s">
        <v>27</v>
      </c>
      <c r="C50" s="9">
        <v>31606</v>
      </c>
      <c r="D50" s="10" t="s">
        <v>14</v>
      </c>
      <c r="E50" s="10" t="s">
        <v>15</v>
      </c>
      <c r="F50" s="11">
        <f t="shared" si="0"/>
        <v>12819.93538082383</v>
      </c>
      <c r="G50" s="11">
        <f t="shared" si="1"/>
        <v>18786.06461917617</v>
      </c>
      <c r="H50" s="9"/>
    </row>
    <row r="51" ht="14.25" customHeight="1">
      <c r="A51" s="7">
        <v>45917</v>
      </c>
      <c r="B51" s="8" t="s">
        <v>16</v>
      </c>
      <c r="C51" s="9">
        <v>14000</v>
      </c>
      <c r="D51" s="10" t="s">
        <v>20</v>
      </c>
      <c r="E51" s="10" t="s">
        <v>15</v>
      </c>
      <c r="F51" s="11">
        <f t="shared" si="0"/>
        <v>5678.6399839123469</v>
      </c>
      <c r="G51" s="11">
        <f t="shared" si="1"/>
        <v>8321.360016087654</v>
      </c>
      <c r="H51" s="9" t="s">
        <v>76</v>
      </c>
    </row>
    <row r="52" ht="14.25" customHeight="1">
      <c r="A52" s="7">
        <v>45917</v>
      </c>
      <c r="B52" s="8" t="s">
        <v>16</v>
      </c>
      <c r="C52" s="9">
        <v>11000</v>
      </c>
      <c r="D52" s="10" t="s">
        <v>14</v>
      </c>
      <c r="E52" s="10" t="s">
        <v>15</v>
      </c>
      <c r="F52" s="11">
        <f t="shared" si="0"/>
        <v>4461.788558788272</v>
      </c>
      <c r="G52" s="11">
        <f t="shared" si="1"/>
        <v>6538.211441211728</v>
      </c>
      <c r="H52" s="9" t="s">
        <v>60</v>
      </c>
    </row>
    <row r="53" ht="14.25" customHeight="1">
      <c r="A53" s="7">
        <v>45919</v>
      </c>
      <c r="B53" s="8" t="s">
        <v>16</v>
      </c>
      <c r="C53" s="9">
        <v>80700</v>
      </c>
      <c r="D53" s="10" t="s">
        <v>20</v>
      </c>
      <c r="E53" s="10" t="s">
        <v>15</v>
      </c>
      <c r="F53" s="11">
        <f t="shared" si="0"/>
        <v>32733.303335837598</v>
      </c>
      <c r="G53" s="11">
        <f t="shared" si="1"/>
        <v>47966.6966641624</v>
      </c>
      <c r="H53" s="9" t="s">
        <v>124</v>
      </c>
    </row>
    <row r="54" ht="14.25" customHeight="1">
      <c r="A54" s="7">
        <v>45919</v>
      </c>
      <c r="B54" s="8" t="s">
        <v>35</v>
      </c>
      <c r="C54" s="9">
        <v>5582</v>
      </c>
      <c r="D54" s="10" t="s">
        <v>20</v>
      </c>
      <c r="E54" s="10" t="s">
        <v>15</v>
      </c>
      <c r="F54" s="11">
        <f t="shared" si="0"/>
        <v>2264.1548850141944</v>
      </c>
      <c r="G54" s="11">
        <f t="shared" si="1"/>
        <v>3317.8451149858056</v>
      </c>
      <c r="H54" s="9"/>
    </row>
    <row r="55" ht="14.25" customHeight="1">
      <c r="A55" s="7">
        <v>45919</v>
      </c>
      <c r="B55" s="8" t="s">
        <v>61</v>
      </c>
      <c r="C55" s="9">
        <v>7529.2</v>
      </c>
      <c r="D55" s="10" t="s">
        <v>14</v>
      </c>
      <c r="E55" s="10" t="s">
        <v>15</v>
      </c>
      <c r="F55" s="11">
        <f t="shared" si="0"/>
        <v>3053.97258334806</v>
      </c>
      <c r="G55" s="11">
        <f t="shared" si="1"/>
        <v>4475.22741665194</v>
      </c>
      <c r="H55" s="9"/>
    </row>
    <row r="56" ht="14.25" customHeight="1">
      <c r="A56" s="7">
        <v>45919</v>
      </c>
      <c r="B56" s="8" t="s">
        <v>19</v>
      </c>
      <c r="C56" s="9">
        <v>30000</v>
      </c>
      <c r="D56" s="10" t="s">
        <v>20</v>
      </c>
      <c r="E56" s="10" t="s">
        <v>15</v>
      </c>
      <c r="F56" s="11">
        <f t="shared" si="0"/>
        <v>12168.514251240744</v>
      </c>
      <c r="G56" s="11">
        <f t="shared" si="1"/>
        <v>17831.485748759256</v>
      </c>
      <c r="H56" s="9"/>
    </row>
    <row r="57" ht="14.25" customHeight="1">
      <c r="A57" s="7">
        <v>45919</v>
      </c>
      <c r="B57" s="8" t="s">
        <v>27</v>
      </c>
      <c r="C57" s="9">
        <v>51990</v>
      </c>
      <c r="D57" s="10" t="s">
        <v>20</v>
      </c>
      <c r="E57" s="10" t="s">
        <v>15</v>
      </c>
      <c r="F57" s="11">
        <f t="shared" si="0"/>
        <v>21088.035197400208</v>
      </c>
      <c r="G57" s="11">
        <f t="shared" si="1"/>
        <v>30901.964802599792</v>
      </c>
      <c r="H57" s="9"/>
    </row>
    <row r="58" ht="14.25" customHeight="1">
      <c r="A58" s="7">
        <v>45920</v>
      </c>
      <c r="B58" s="8" t="s">
        <v>27</v>
      </c>
      <c r="C58" s="9">
        <v>56900</v>
      </c>
      <c r="D58" s="10" t="s">
        <v>14</v>
      </c>
      <c r="E58" s="10" t="s">
        <v>15</v>
      </c>
      <c r="F58" s="11">
        <f t="shared" si="0"/>
        <v>23079.615363186607</v>
      </c>
      <c r="G58" s="11">
        <f t="shared" si="1"/>
        <v>33820.384636813389</v>
      </c>
      <c r="H58" s="9"/>
    </row>
    <row r="59" ht="14.25" customHeight="1">
      <c r="A59" s="7">
        <v>45921</v>
      </c>
      <c r="B59" s="8" t="s">
        <v>16</v>
      </c>
      <c r="C59" s="9">
        <v>16000</v>
      </c>
      <c r="D59" s="10" t="s">
        <v>20</v>
      </c>
      <c r="E59" s="10" t="s">
        <v>15</v>
      </c>
      <c r="F59" s="11">
        <f t="shared" si="0"/>
        <v>6489.8742673283959</v>
      </c>
      <c r="G59" s="11">
        <f t="shared" si="1"/>
        <v>9510.1257326716041</v>
      </c>
      <c r="H59" s="9" t="s">
        <v>125</v>
      </c>
    </row>
    <row r="60" ht="14.25" customHeight="1">
      <c r="A60" s="7">
        <v>45923</v>
      </c>
      <c r="B60" s="8" t="s">
        <v>27</v>
      </c>
      <c r="C60" s="9">
        <v>137854.49</v>
      </c>
      <c r="D60" s="10" t="s">
        <v>14</v>
      </c>
      <c r="E60" s="10" t="s">
        <v>15</v>
      </c>
      <c r="F60" s="11">
        <f t="shared" si="0"/>
        <v>55916.144205417477</v>
      </c>
      <c r="G60" s="11">
        <f t="shared" si="1"/>
        <v>81938.3457945825</v>
      </c>
      <c r="H60" s="9"/>
    </row>
    <row r="61" ht="14.25" customHeight="1">
      <c r="A61" s="7">
        <v>45923</v>
      </c>
      <c r="B61" s="8" t="s">
        <v>35</v>
      </c>
      <c r="C61" s="9">
        <v>3180</v>
      </c>
      <c r="D61" s="10" t="s">
        <v>20</v>
      </c>
      <c r="E61" s="10" t="s">
        <v>15</v>
      </c>
      <c r="F61" s="11">
        <f t="shared" si="0"/>
        <v>1289.8625106315187</v>
      </c>
      <c r="G61" s="11">
        <f t="shared" si="1"/>
        <v>1890.1374893684813</v>
      </c>
      <c r="H61" s="9"/>
    </row>
    <row r="62" ht="14.25" customHeight="1">
      <c r="A62" s="7">
        <v>45923</v>
      </c>
      <c r="B62" s="8" t="s">
        <v>16</v>
      </c>
      <c r="C62" s="9">
        <v>75000</v>
      </c>
      <c r="D62" s="10" t="s">
        <v>20</v>
      </c>
      <c r="E62" s="10" t="s">
        <v>15</v>
      </c>
      <c r="F62" s="11">
        <f t="shared" si="0"/>
        <v>30421.285628101858</v>
      </c>
      <c r="G62" s="11">
        <f t="shared" si="1"/>
        <v>44578.714371898146</v>
      </c>
      <c r="H62" s="9" t="s">
        <v>126</v>
      </c>
    </row>
    <row r="63" ht="14.25" customHeight="1">
      <c r="A63" s="7">
        <v>45926</v>
      </c>
      <c r="B63" s="8" t="s">
        <v>127</v>
      </c>
      <c r="C63" s="9">
        <v>18188.49</v>
      </c>
      <c r="D63" s="10" t="s">
        <v>14</v>
      </c>
      <c r="E63" s="10" t="s">
        <v>15</v>
      </c>
      <c r="F63" s="11">
        <f t="shared" si="0"/>
        <v>7377.5633257849922</v>
      </c>
      <c r="G63" s="11">
        <f t="shared" si="1"/>
        <v>10810.92667421501</v>
      </c>
      <c r="H63" s="9"/>
    </row>
    <row r="64" ht="14.25" customHeight="1">
      <c r="A64" s="7">
        <v>45926</v>
      </c>
      <c r="B64" s="8" t="s">
        <v>128</v>
      </c>
      <c r="C64" s="9">
        <v>14626.58</v>
      </c>
      <c r="D64" s="10" t="s">
        <v>14</v>
      </c>
      <c r="E64" s="10" t="s">
        <v>15</v>
      </c>
      <c r="F64" s="11">
        <f t="shared" si="0"/>
        <v>5932.79157256376</v>
      </c>
      <c r="G64" s="11">
        <f t="shared" si="1"/>
        <v>8693.7884274362386</v>
      </c>
      <c r="H64" s="9"/>
    </row>
    <row r="65" ht="14.25" customHeight="1">
      <c r="A65" s="7">
        <v>45926</v>
      </c>
      <c r="B65" s="8" t="s">
        <v>61</v>
      </c>
      <c r="C65" s="9">
        <v>56525</v>
      </c>
      <c r="D65" s="10" t="s">
        <v>20</v>
      </c>
      <c r="E65" s="10" t="s">
        <v>15</v>
      </c>
      <c r="F65" s="11">
        <f t="shared" si="0"/>
        <v>22927.5089350461</v>
      </c>
      <c r="G65" s="11">
        <f t="shared" si="1"/>
        <v>33597.4910649539</v>
      </c>
      <c r="H65" s="9"/>
    </row>
    <row r="66" ht="14.25" customHeight="1">
      <c r="A66" s="7">
        <v>45927</v>
      </c>
      <c r="B66" s="8" t="s">
        <v>36</v>
      </c>
      <c r="C66" s="9">
        <v>42200</v>
      </c>
      <c r="D66" s="10" t="s">
        <v>20</v>
      </c>
      <c r="E66" s="10" t="s">
        <v>15</v>
      </c>
      <c r="F66" s="11">
        <f t="shared" si="0"/>
        <v>17117.043380078645</v>
      </c>
      <c r="G66" s="11">
        <f t="shared" si="1"/>
        <v>25082.956619921355</v>
      </c>
      <c r="H66" s="9"/>
    </row>
    <row r="67" ht="14.25" customHeight="1">
      <c r="A67" s="7">
        <v>45927</v>
      </c>
      <c r="B67" s="8" t="s">
        <v>36</v>
      </c>
      <c r="C67" s="9">
        <v>47141</v>
      </c>
      <c r="D67" s="10" t="s">
        <v>14</v>
      </c>
      <c r="E67" s="10" t="s">
        <v>15</v>
      </c>
      <c r="F67" s="11">
        <f t="shared" si="0"/>
        <v>19121.197677257995</v>
      </c>
      <c r="G67" s="11">
        <f t="shared" si="1"/>
        <v>28019.802322742005</v>
      </c>
      <c r="H67" s="9"/>
    </row>
    <row r="68" ht="14.25" customHeight="1">
      <c r="A68" s="7">
        <v>45928</v>
      </c>
      <c r="B68" s="8" t="s">
        <v>16</v>
      </c>
      <c r="C68" s="9">
        <v>37780</v>
      </c>
      <c r="D68" s="10" t="s">
        <v>14</v>
      </c>
      <c r="E68" s="10" t="s">
        <v>15</v>
      </c>
      <c r="F68" s="11">
        <f t="shared" si="0"/>
        <v>15324.215613729175</v>
      </c>
      <c r="G68" s="11">
        <f t="shared" si="1"/>
        <v>22455.784386270825</v>
      </c>
      <c r="H68" s="9" t="s">
        <v>129</v>
      </c>
    </row>
    <row r="69" ht="14.25" customHeight="1">
      <c r="A69" s="7">
        <v>45929</v>
      </c>
      <c r="B69" s="8" t="s">
        <v>19</v>
      </c>
      <c r="C69" s="9">
        <v>47932</v>
      </c>
      <c r="D69" s="10" t="s">
        <v>20</v>
      </c>
      <c r="E69" s="10" t="s">
        <v>15</v>
      </c>
      <c r="F69" s="11">
        <f t="shared" si="0"/>
        <v>19442.040836349042</v>
      </c>
      <c r="G69" s="11">
        <f t="shared" si="1"/>
        <v>28489.959163650958</v>
      </c>
      <c r="H69" s="9"/>
    </row>
    <row r="70" ht="14.25" customHeight="1">
      <c r="A70" s="7"/>
      <c r="B70" s="8"/>
      <c r="C70" s="9"/>
      <c r="D70" s="10"/>
      <c r="E70" s="10"/>
      <c r="F70" s="11">
        <f t="shared" si="0"/>
        <v>0</v>
      </c>
      <c r="G70" s="11">
        <f t="shared" si="1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0"/>
        <v>0</v>
      </c>
      <c r="G71" s="11">
        <f t="shared" si="1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0"/>
        <v>0</v>
      </c>
      <c r="G72" s="11">
        <f t="shared" si="1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0"/>
        <v>0</v>
      </c>
      <c r="G73" s="11">
        <f t="shared" si="1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0"/>
        <v>0</v>
      </c>
      <c r="G74" s="11">
        <f t="shared" si="1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0"/>
        <v>0</v>
      </c>
      <c r="G75" s="11">
        <f t="shared" si="1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0"/>
        <v>0</v>
      </c>
      <c r="G76" s="11">
        <f t="shared" si="1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0"/>
        <v>0</v>
      </c>
      <c r="G77" s="11">
        <f t="shared" si="1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0"/>
        <v>0</v>
      </c>
      <c r="G78" s="11">
        <f t="shared" si="1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0"/>
        <v>0</v>
      </c>
      <c r="G79" s="11">
        <f t="shared" si="1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0"/>
        <v>0</v>
      </c>
      <c r="G80" s="11">
        <f t="shared" si="1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0"/>
        <v>0</v>
      </c>
      <c r="G81" s="11">
        <f t="shared" si="1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0"/>
        <v>0</v>
      </c>
      <c r="G82" s="11">
        <f t="shared" si="1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0"/>
        <v>0</v>
      </c>
      <c r="G83" s="11">
        <f t="shared" si="1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0"/>
        <v>0</v>
      </c>
      <c r="G84" s="11">
        <f t="shared" si="1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0"/>
        <v>0</v>
      </c>
      <c r="G85" s="11">
        <f t="shared" si="1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0"/>
        <v>0</v>
      </c>
      <c r="G86" s="11">
        <f t="shared" si="1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0"/>
        <v>0</v>
      </c>
      <c r="G87" s="11">
        <f t="shared" si="1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0"/>
        <v>0</v>
      </c>
      <c r="G88" s="11">
        <f t="shared" si="1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0"/>
        <v>0</v>
      </c>
      <c r="G89" s="11">
        <f t="shared" si="1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0"/>
        <v>0</v>
      </c>
      <c r="G90" s="11">
        <f t="shared" si="1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0"/>
        <v>0</v>
      </c>
      <c r="G91" s="11">
        <f t="shared" si="1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0"/>
        <v>0</v>
      </c>
      <c r="G92" s="11">
        <f t="shared" si="1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0"/>
        <v>0</v>
      </c>
      <c r="G93" s="11">
        <f t="shared" si="1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0"/>
        <v>0</v>
      </c>
      <c r="G94" s="11">
        <f t="shared" si="1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0"/>
        <v>0</v>
      </c>
      <c r="G95" s="11">
        <f t="shared" si="1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0"/>
        <v>0</v>
      </c>
      <c r="G96" s="11">
        <f t="shared" si="1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0"/>
        <v>0</v>
      </c>
      <c r="G97" s="11">
        <f t="shared" si="1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0"/>
        <v>0</v>
      </c>
      <c r="G98" s="11">
        <f t="shared" si="1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0"/>
        <v>0</v>
      </c>
      <c r="G99" s="11">
        <f t="shared" si="1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0"/>
        <v>0</v>
      </c>
      <c r="G100" s="11">
        <f t="shared" si="1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 D4:D5 D7:D17 D20:D50" xr:uid="{00000000-0002-0000-0300-000000000000}">
      <formula1>Quien</formula1>
    </dataValidation>
    <dataValidation type="list" allowBlank="1" showErrorMessage="1" sqref="E2 E4:E5 E7:E17 E20:E50" xr:uid="{00000000-0002-0000-0300-000001000000}">
      <formula1>Proporcional</formula1>
    </dataValidation>
    <dataValidation type="list" allowBlank="1" showErrorMessage="1" sqref="B2 B4:B5 B7:B17 B20:B50" xr:uid="{00000000-0002-0000-0300-000002000000}">
      <formula1>Tipo</formula1>
    </dataValidation>
    <dataValidation type="decimal" allowBlank="1" showErrorMessage="1" sqref="C2 C4:C5 C7:C17 C20:C50" xr:uid="{00000000-0002-0000-0300-000003000000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29"/>
  <dimension ref="A1:N100"/>
  <sheetViews>
    <sheetView topLeftCell="A27" zoomScale="85" zoomScaleNormal="85" workbookViewId="0">
      <selection activeCell="H37" sqref="H37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bestFit="1" width="16.36328125" customWidth="1"/>
    <col min="11" max="11" width="13.7265625" customWidth="1"/>
    <col min="12" max="12" bestFit="1" width="13.632812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45839</v>
      </c>
      <c r="B2" s="8" t="s">
        <v>16</v>
      </c>
      <c r="C2" s="9">
        <v>50000</v>
      </c>
      <c r="D2" s="10" t="s">
        <v>14</v>
      </c>
      <c r="E2" s="10" t="s">
        <v>15</v>
      </c>
      <c r="F2" s="11">
        <f ref="F2:F100" t="shared" si="0">IF(B2="Consolidación",0,IF(E2="NO",C2*0.5,C2*$K$10))</f>
        <v>17488.703017445718</v>
      </c>
      <c r="G2" s="11">
        <f ref="G2:G100" t="shared" si="1">IF(B2="Consolidación",0,IF(E2="NO",C2*0.5,C2*$K$11))</f>
        <v>32511.296982554282</v>
      </c>
      <c r="H2" s="9" t="s">
        <v>130</v>
      </c>
      <c r="I2" s="11"/>
      <c r="J2" s="12">
        <f>SUM(K2,L2)</f>
        <v>2930447.2799999993</v>
      </c>
      <c r="K2" s="12">
        <f>SUMIF(D2:D100,"Andrea",C2:C100)-SUMIFS(C2:C100,B2:B100,"Consolidación",D2:D100,"Juan")</f>
        <v>1021852.8799999999</v>
      </c>
      <c r="L2" s="12">
        <f>SUMIF(D2:D100,"Juan",C2:C100)-SUMIFS(C2:C100,B2:B100,"Consolidación",D2:D100,"Andrea")</f>
        <v>1908594.3999999997</v>
      </c>
      <c r="M2" s="13">
        <f>SUM(F2:F500)-K2+'Septiembre-25'!M2</f>
        <v>-13535.70359140879</v>
      </c>
      <c r="N2" s="13">
        <f>SUM(G2:G500)-L2+'Septiembre-25'!N2</f>
        <v>13535.703591409605</v>
      </c>
    </row>
    <row r="3" ht="14.25" customHeight="1">
      <c r="A3" s="7">
        <v>45839</v>
      </c>
      <c r="B3" s="8" t="s">
        <v>16</v>
      </c>
      <c r="C3" s="9">
        <v>5854</v>
      </c>
      <c r="D3" s="10" t="s">
        <v>14</v>
      </c>
      <c r="E3" s="10" t="s">
        <v>15</v>
      </c>
      <c r="F3" s="11">
        <f t="shared" si="0"/>
        <v>2047.5773492825444</v>
      </c>
      <c r="G3" s="11">
        <f t="shared" si="1"/>
        <v>3806.4226507174553</v>
      </c>
      <c r="H3" s="9" t="s">
        <v>131</v>
      </c>
      <c r="I3" s="11"/>
    </row>
    <row r="4" ht="14.25" customHeight="1">
      <c r="A4" s="7">
        <v>45870</v>
      </c>
      <c r="B4" s="8" t="s">
        <v>16</v>
      </c>
      <c r="C4" s="9">
        <v>28291.33</v>
      </c>
      <c r="D4" s="10" t="s">
        <v>14</v>
      </c>
      <c r="E4" s="10" t="s">
        <v>15</v>
      </c>
      <c r="F4" s="11">
        <f t="shared" si="0"/>
        <v>9895.573366771052</v>
      </c>
      <c r="G4" s="11">
        <f t="shared" si="1"/>
        <v>18395.75663322895</v>
      </c>
      <c r="H4" s="9" t="s">
        <v>132</v>
      </c>
      <c r="I4" s="11"/>
    </row>
    <row r="5" ht="14.25" customHeight="1">
      <c r="A5" s="7">
        <v>45870</v>
      </c>
      <c r="B5" s="8" t="s">
        <v>16</v>
      </c>
      <c r="C5" s="9">
        <v>7321.33</v>
      </c>
      <c r="D5" s="10" t="s">
        <v>14</v>
      </c>
      <c r="E5" s="10" t="s">
        <v>15</v>
      </c>
      <c r="F5" s="11">
        <f t="shared" si="0"/>
        <v>2560.8113212543171</v>
      </c>
      <c r="G5" s="11">
        <f t="shared" si="1"/>
        <v>4760.5186787456832</v>
      </c>
      <c r="H5" s="9" t="s">
        <v>133</v>
      </c>
      <c r="I5" s="11"/>
    </row>
    <row r="6" ht="14.25" customHeight="1">
      <c r="A6" s="7">
        <v>45870</v>
      </c>
      <c r="B6" s="8" t="s">
        <v>16</v>
      </c>
      <c r="C6" s="9">
        <v>15831</v>
      </c>
      <c r="D6" s="10" t="s">
        <v>14</v>
      </c>
      <c r="E6" s="10" t="s">
        <v>15</v>
      </c>
      <c r="F6" s="11">
        <f t="shared" si="0"/>
        <v>5537.2731493836627</v>
      </c>
      <c r="G6" s="11">
        <f t="shared" si="1"/>
        <v>10293.726850616336</v>
      </c>
      <c r="H6" s="9" t="s">
        <v>134</v>
      </c>
      <c r="I6" s="11"/>
    </row>
    <row r="7" ht="14.25" customHeight="1">
      <c r="A7" s="7">
        <v>45870</v>
      </c>
      <c r="B7" s="8" t="s">
        <v>68</v>
      </c>
      <c r="C7" s="9">
        <v>22148.33</v>
      </c>
      <c r="D7" s="10" t="s">
        <v>14</v>
      </c>
      <c r="E7" s="10" t="s">
        <v>15</v>
      </c>
      <c r="F7" s="11">
        <f t="shared" si="0"/>
        <v>7746.91131404767</v>
      </c>
      <c r="G7" s="11">
        <f t="shared" si="1"/>
        <v>14401.418685952331</v>
      </c>
      <c r="H7" s="9" t="s">
        <v>111</v>
      </c>
      <c r="I7" s="11"/>
      <c r="J7" s="10" t="s">
        <v>24</v>
      </c>
      <c r="K7" s="14">
        <v>1863741</v>
      </c>
    </row>
    <row r="8" ht="14.25" customHeight="1">
      <c r="A8" s="7">
        <v>45870</v>
      </c>
      <c r="B8" s="8" t="s">
        <v>16</v>
      </c>
      <c r="C8" s="9">
        <v>31333</v>
      </c>
      <c r="D8" s="10" t="s">
        <v>20</v>
      </c>
      <c r="E8" s="10" t="s">
        <v>15</v>
      </c>
      <c r="F8" s="11">
        <f t="shared" si="0"/>
        <v>10959.470632912533</v>
      </c>
      <c r="G8" s="11">
        <f t="shared" si="1"/>
        <v>20373.529367087467</v>
      </c>
      <c r="H8" s="9" t="s">
        <v>135</v>
      </c>
      <c r="I8" s="11"/>
      <c r="J8" s="10" t="s">
        <v>25</v>
      </c>
      <c r="K8" s="14">
        <v>3464673</v>
      </c>
    </row>
    <row r="9" ht="14.25" customHeight="1">
      <c r="A9" s="7">
        <v>45870</v>
      </c>
      <c r="B9" s="8" t="s">
        <v>19</v>
      </c>
      <c r="C9" s="9">
        <v>4652</v>
      </c>
      <c r="D9" s="10" t="s">
        <v>20</v>
      </c>
      <c r="E9" s="10" t="s">
        <v>15</v>
      </c>
      <c r="F9" s="11">
        <f t="shared" si="0"/>
        <v>1627.1489287431496</v>
      </c>
      <c r="G9" s="11">
        <f t="shared" si="1"/>
        <v>3024.8510712568504</v>
      </c>
      <c r="H9" s="9" t="s">
        <v>136</v>
      </c>
      <c r="I9" s="11"/>
      <c r="J9" s="10" t="s">
        <v>8</v>
      </c>
      <c r="K9" s="14">
        <f>SUM(K7:K8)</f>
        <v>5328414</v>
      </c>
    </row>
    <row r="10" ht="14.25" customHeight="1">
      <c r="A10" s="7">
        <v>45870</v>
      </c>
      <c r="B10" s="8" t="s">
        <v>68</v>
      </c>
      <c r="C10" s="9">
        <v>27910</v>
      </c>
      <c r="D10" s="10" t="s">
        <v>14</v>
      </c>
      <c r="E10" s="10" t="s">
        <v>15</v>
      </c>
      <c r="F10" s="11">
        <f t="shared" si="0"/>
        <v>9762.1940243382</v>
      </c>
      <c r="G10" s="11">
        <f t="shared" si="1"/>
        <v>18147.805975661802</v>
      </c>
      <c r="H10" s="9" t="s">
        <v>137</v>
      </c>
      <c r="I10" s="11"/>
      <c r="J10" s="10" t="s">
        <v>28</v>
      </c>
      <c r="K10" s="15">
        <f>K7/K9</f>
        <v>0.34977406034891434</v>
      </c>
    </row>
    <row r="11" ht="14.25" customHeight="1">
      <c r="A11" s="7">
        <v>45870</v>
      </c>
      <c r="B11" s="8" t="s">
        <v>68</v>
      </c>
      <c r="C11" s="9">
        <v>11780</v>
      </c>
      <c r="D11" s="10" t="s">
        <v>14</v>
      </c>
      <c r="E11" s="10" t="s">
        <v>15</v>
      </c>
      <c r="F11" s="11">
        <f t="shared" si="0"/>
        <v>4120.3384309102112</v>
      </c>
      <c r="G11" s="11">
        <f t="shared" si="1"/>
        <v>7659.6615690897888</v>
      </c>
      <c r="H11" s="9" t="s">
        <v>138</v>
      </c>
      <c r="I11" s="11"/>
      <c r="J11" s="10" t="s">
        <v>30</v>
      </c>
      <c r="K11" s="15">
        <f>K8/K9</f>
        <v>0.65022593965108566</v>
      </c>
    </row>
    <row r="12" ht="14.25" customHeight="1">
      <c r="A12" s="7">
        <v>45870</v>
      </c>
      <c r="B12" s="8" t="s">
        <v>16</v>
      </c>
      <c r="C12" s="9">
        <v>7667.78</v>
      </c>
      <c r="D12" s="10" t="s">
        <v>20</v>
      </c>
      <c r="E12" s="10" t="s">
        <v>15</v>
      </c>
      <c r="F12" s="11">
        <f t="shared" si="0"/>
        <v>2681.9905444621982</v>
      </c>
      <c r="G12" s="11">
        <f t="shared" si="1"/>
        <v>4985.7894555378016</v>
      </c>
      <c r="H12" s="9" t="s">
        <v>136</v>
      </c>
      <c r="I12" s="11"/>
    </row>
    <row r="13" ht="14.25" customHeight="1">
      <c r="A13" s="7">
        <v>45870</v>
      </c>
      <c r="B13" s="8" t="s">
        <v>16</v>
      </c>
      <c r="C13" s="9">
        <v>20216.67</v>
      </c>
      <c r="D13" s="10" t="s">
        <v>20</v>
      </c>
      <c r="E13" s="10" t="s">
        <v>15</v>
      </c>
      <c r="F13" s="11">
        <f t="shared" si="0"/>
        <v>7071.2667526340856</v>
      </c>
      <c r="G13" s="11">
        <f t="shared" si="1"/>
        <v>13145.403247365914</v>
      </c>
      <c r="H13" s="9" t="s">
        <v>139</v>
      </c>
      <c r="I13" s="11"/>
    </row>
    <row r="14" ht="14.25" customHeight="1">
      <c r="A14" s="7">
        <v>45870</v>
      </c>
      <c r="B14" s="8" t="s">
        <v>16</v>
      </c>
      <c r="C14" s="9">
        <v>25213</v>
      </c>
      <c r="D14" s="10" t="s">
        <v>20</v>
      </c>
      <c r="E14" s="10" t="s">
        <v>15</v>
      </c>
      <c r="F14" s="11">
        <f t="shared" si="0"/>
        <v>8818.8533835771777</v>
      </c>
      <c r="G14" s="11">
        <f t="shared" si="1"/>
        <v>16394.146616422822</v>
      </c>
      <c r="H14" s="9" t="s">
        <v>140</v>
      </c>
      <c r="I14" s="11"/>
    </row>
    <row r="15" ht="14.25" customHeight="1">
      <c r="A15" s="7">
        <v>45886</v>
      </c>
      <c r="B15" s="8" t="s">
        <v>16</v>
      </c>
      <c r="C15" s="9">
        <v>21000</v>
      </c>
      <c r="D15" s="10" t="s">
        <v>20</v>
      </c>
      <c r="E15" s="10" t="s">
        <v>15</v>
      </c>
      <c r="F15" s="11">
        <f t="shared" si="0"/>
        <v>7345.2552673272012</v>
      </c>
      <c r="G15" s="11">
        <f t="shared" si="1"/>
        <v>13654.7447326728</v>
      </c>
      <c r="H15" s="9" t="s">
        <v>141</v>
      </c>
      <c r="I15" s="11"/>
      <c r="K15" s="16"/>
    </row>
    <row r="16" ht="14.25" customHeight="1">
      <c r="A16" s="7">
        <v>45892</v>
      </c>
      <c r="B16" s="8" t="s">
        <v>16</v>
      </c>
      <c r="C16" s="9">
        <v>5617</v>
      </c>
      <c r="D16" s="10" t="s">
        <v>20</v>
      </c>
      <c r="E16" s="10" t="s">
        <v>15</v>
      </c>
      <c r="F16" s="11">
        <f t="shared" si="0"/>
        <v>1964.6808969798519</v>
      </c>
      <c r="G16" s="11">
        <f t="shared" si="1"/>
        <v>3652.3191030201483</v>
      </c>
      <c r="H16" s="9" t="s">
        <v>136</v>
      </c>
      <c r="I16" s="11"/>
    </row>
    <row r="17" ht="14.25" customHeight="1">
      <c r="A17" s="7">
        <v>45904</v>
      </c>
      <c r="B17" s="8" t="s">
        <v>79</v>
      </c>
      <c r="C17" s="9">
        <v>33000</v>
      </c>
      <c r="D17" s="10" t="s">
        <v>20</v>
      </c>
      <c r="E17" s="10" t="s">
        <v>15</v>
      </c>
      <c r="F17" s="11">
        <f t="shared" si="0"/>
        <v>11542.543991514172</v>
      </c>
      <c r="G17" s="11">
        <f t="shared" si="1"/>
        <v>21457.456008485828</v>
      </c>
      <c r="H17" s="9" t="s">
        <v>88</v>
      </c>
      <c r="I17" s="11"/>
    </row>
    <row r="18" ht="14.25" customHeight="1">
      <c r="A18" s="7">
        <v>45931</v>
      </c>
      <c r="B18" s="8" t="s">
        <v>16</v>
      </c>
      <c r="C18" s="9">
        <v>11666.33</v>
      </c>
      <c r="D18" s="10" t="s">
        <v>14</v>
      </c>
      <c r="E18" s="10" t="s">
        <v>15</v>
      </c>
      <c r="F18" s="11">
        <f t="shared" si="0"/>
        <v>4080.5796134703496</v>
      </c>
      <c r="G18" s="11">
        <f t="shared" si="1"/>
        <v>7585.75038652965</v>
      </c>
      <c r="H18" s="9" t="s">
        <v>142</v>
      </c>
      <c r="I18" s="11"/>
    </row>
    <row r="19" ht="14.25" customHeight="1">
      <c r="A19" s="7">
        <v>45931</v>
      </c>
      <c r="B19" s="8" t="s">
        <v>68</v>
      </c>
      <c r="C19" s="9">
        <v>47075</v>
      </c>
      <c r="D19" s="10" t="s">
        <v>14</v>
      </c>
      <c r="E19" s="10" t="s">
        <v>15</v>
      </c>
      <c r="F19" s="11">
        <f t="shared" si="0"/>
        <v>16465.613890925142</v>
      </c>
      <c r="G19" s="11">
        <f t="shared" si="1"/>
        <v>30609.386109074858</v>
      </c>
      <c r="H19" s="9" t="s">
        <v>143</v>
      </c>
      <c r="I19" s="11"/>
    </row>
    <row r="20" ht="14.25" customHeight="1">
      <c r="A20" s="7">
        <v>45931</v>
      </c>
      <c r="B20" s="8" t="s">
        <v>37</v>
      </c>
      <c r="C20" s="9">
        <v>30450</v>
      </c>
      <c r="D20" s="10" t="s">
        <v>14</v>
      </c>
      <c r="E20" s="10" t="s">
        <v>15</v>
      </c>
      <c r="F20" s="11">
        <f t="shared" si="0"/>
        <v>10650.620137624441</v>
      </c>
      <c r="G20" s="11">
        <f t="shared" si="1"/>
        <v>19799.379862375557</v>
      </c>
      <c r="H20" s="9" t="s">
        <v>144</v>
      </c>
      <c r="I20" s="11"/>
    </row>
    <row r="21" ht="14.25" customHeight="1">
      <c r="A21" s="7">
        <v>45931</v>
      </c>
      <c r="B21" s="8" t="s">
        <v>16</v>
      </c>
      <c r="C21" s="9">
        <v>8667</v>
      </c>
      <c r="D21" s="10" t="s">
        <v>14</v>
      </c>
      <c r="E21" s="10" t="s">
        <v>15</v>
      </c>
      <c r="F21" s="11">
        <f t="shared" si="0"/>
        <v>3031.4917810440406</v>
      </c>
      <c r="G21" s="11">
        <f t="shared" si="1"/>
        <v>5635.50821895596</v>
      </c>
      <c r="H21" s="9" t="s">
        <v>145</v>
      </c>
      <c r="I21" s="11"/>
    </row>
    <row r="22" ht="14.25" customHeight="1">
      <c r="A22" s="7">
        <v>45931</v>
      </c>
      <c r="B22" s="8" t="s">
        <v>68</v>
      </c>
      <c r="C22" s="9">
        <v>17780</v>
      </c>
      <c r="D22" s="10" t="s">
        <v>14</v>
      </c>
      <c r="E22" s="10" t="s">
        <v>15</v>
      </c>
      <c r="F22" s="11">
        <f t="shared" si="0"/>
        <v>6218.9827930036972</v>
      </c>
      <c r="G22" s="11">
        <f t="shared" si="1"/>
        <v>11561.017206996303</v>
      </c>
      <c r="H22" s="9" t="s">
        <v>146</v>
      </c>
      <c r="I22" s="11"/>
    </row>
    <row r="23" ht="14.25" customHeight="1">
      <c r="A23" s="7">
        <v>45931</v>
      </c>
      <c r="B23" s="8" t="s">
        <v>16</v>
      </c>
      <c r="C23" s="9">
        <v>26453</v>
      </c>
      <c r="D23" s="10" t="s">
        <v>20</v>
      </c>
      <c r="E23" s="10" t="s">
        <v>15</v>
      </c>
      <c r="F23" s="11">
        <f t="shared" si="0"/>
        <v>9252.57321840983</v>
      </c>
      <c r="G23" s="11">
        <f t="shared" si="1"/>
        <v>17200.426781590169</v>
      </c>
      <c r="H23" s="9" t="s">
        <v>147</v>
      </c>
      <c r="I23" s="11"/>
    </row>
    <row r="24" ht="14.25" customHeight="1">
      <c r="A24" s="7">
        <v>45931</v>
      </c>
      <c r="B24" s="8" t="s">
        <v>16</v>
      </c>
      <c r="C24" s="9">
        <v>16000</v>
      </c>
      <c r="D24" s="10" t="s">
        <v>20</v>
      </c>
      <c r="E24" s="10" t="s">
        <v>15</v>
      </c>
      <c r="F24" s="11">
        <f t="shared" si="0"/>
        <v>5596.38496558263</v>
      </c>
      <c r="G24" s="11">
        <f t="shared" si="1"/>
        <v>10403.615034417371</v>
      </c>
      <c r="H24" s="9" t="s">
        <v>100</v>
      </c>
      <c r="I24" s="11"/>
    </row>
    <row r="25" ht="14.25" customHeight="1">
      <c r="A25" s="7">
        <v>45931</v>
      </c>
      <c r="B25" s="8" t="s">
        <v>51</v>
      </c>
      <c r="C25" s="9">
        <v>246642</v>
      </c>
      <c r="D25" s="10" t="s">
        <v>14</v>
      </c>
      <c r="E25" s="10" t="s">
        <v>15</v>
      </c>
      <c r="F25" s="11">
        <f t="shared" si="0"/>
        <v>86268.97379257693</v>
      </c>
      <c r="G25" s="11">
        <f t="shared" si="1"/>
        <v>160373.02620742307</v>
      </c>
      <c r="H25" s="9"/>
      <c r="I25" s="11"/>
    </row>
    <row r="26" ht="14.25" customHeight="1">
      <c r="A26" s="7">
        <v>45931</v>
      </c>
      <c r="B26" s="8" t="s">
        <v>49</v>
      </c>
      <c r="C26" s="9">
        <v>53161</v>
      </c>
      <c r="D26" s="10" t="s">
        <v>14</v>
      </c>
      <c r="E26" s="10" t="s">
        <v>15</v>
      </c>
      <c r="F26" s="11">
        <f t="shared" si="0"/>
        <v>18594.338822208636</v>
      </c>
      <c r="G26" s="11">
        <f t="shared" si="1"/>
        <v>34566.661177791364</v>
      </c>
      <c r="H26" s="9"/>
      <c r="I26" s="11"/>
    </row>
    <row r="27" ht="14.25" customHeight="1">
      <c r="A27" s="7">
        <v>45932</v>
      </c>
      <c r="B27" s="8" t="s">
        <v>27</v>
      </c>
      <c r="C27" s="9">
        <v>189160.39</v>
      </c>
      <c r="D27" s="10" t="s">
        <v>14</v>
      </c>
      <c r="E27" s="10" t="s">
        <v>15</v>
      </c>
      <c r="F27" s="11">
        <f t="shared" si="0"/>
        <v>66163.397667484183</v>
      </c>
      <c r="G27" s="11">
        <f t="shared" si="1"/>
        <v>122996.99233251583</v>
      </c>
      <c r="H27" s="9"/>
      <c r="I27" s="11"/>
    </row>
    <row r="28" ht="14.25" customHeight="1">
      <c r="A28" s="7">
        <v>45932</v>
      </c>
      <c r="B28" s="8" t="s">
        <v>16</v>
      </c>
      <c r="C28" s="9">
        <v>600000</v>
      </c>
      <c r="D28" s="10" t="s">
        <v>14</v>
      </c>
      <c r="E28" s="10" t="s">
        <v>15</v>
      </c>
      <c r="F28" s="11">
        <f t="shared" si="0"/>
        <v>209864.43620934861</v>
      </c>
      <c r="G28" s="11">
        <f t="shared" si="1"/>
        <v>390135.56379065139</v>
      </c>
      <c r="H28" s="9" t="s">
        <v>148</v>
      </c>
    </row>
    <row r="29" ht="14.25" customHeight="1">
      <c r="A29" s="7">
        <v>45931</v>
      </c>
      <c r="B29" s="8" t="s">
        <v>16</v>
      </c>
      <c r="C29" s="9">
        <v>11100</v>
      </c>
      <c r="D29" s="10" t="s">
        <v>14</v>
      </c>
      <c r="E29" s="10" t="s">
        <v>15</v>
      </c>
      <c r="F29" s="11">
        <f t="shared" si="0"/>
        <v>3882.4920698729493</v>
      </c>
      <c r="G29" s="11">
        <f t="shared" si="1"/>
        <v>7217.5079301270507</v>
      </c>
      <c r="H29" s="9" t="s">
        <v>60</v>
      </c>
    </row>
    <row r="30" ht="14.25" customHeight="1">
      <c r="A30" s="7">
        <v>45934</v>
      </c>
      <c r="B30" s="8" t="s">
        <v>61</v>
      </c>
      <c r="C30" s="9">
        <v>18619.5</v>
      </c>
      <c r="D30" s="10" t="s">
        <v>14</v>
      </c>
      <c r="E30" s="10" t="s">
        <v>15</v>
      </c>
      <c r="F30" s="11">
        <f t="shared" si="0"/>
        <v>6512.61811666661</v>
      </c>
      <c r="G30" s="11">
        <f t="shared" si="1"/>
        <v>12106.88188333339</v>
      </c>
      <c r="H30" s="9"/>
    </row>
    <row r="31" ht="14.25" customHeight="1">
      <c r="A31" s="7">
        <v>45934</v>
      </c>
      <c r="B31" s="8" t="s">
        <v>36</v>
      </c>
      <c r="C31" s="9">
        <v>17507</v>
      </c>
      <c r="D31" s="10" t="s">
        <v>20</v>
      </c>
      <c r="E31" s="10" t="s">
        <v>15</v>
      </c>
      <c r="F31" s="11">
        <f t="shared" si="0"/>
        <v>6123.4944745284438</v>
      </c>
      <c r="G31" s="11">
        <f t="shared" si="1"/>
        <v>11383.505525471557</v>
      </c>
      <c r="H31" s="9"/>
    </row>
    <row r="32" ht="14.25" customHeight="1">
      <c r="A32" s="7">
        <v>45934</v>
      </c>
      <c r="B32" s="8" t="s">
        <v>16</v>
      </c>
      <c r="C32" s="9">
        <v>5400</v>
      </c>
      <c r="D32" s="10" t="s">
        <v>20</v>
      </c>
      <c r="E32" s="10" t="s">
        <v>15</v>
      </c>
      <c r="F32" s="11">
        <f t="shared" si="0"/>
        <v>1888.7799258841374</v>
      </c>
      <c r="G32" s="11">
        <f t="shared" si="1"/>
        <v>3511.2200741158626</v>
      </c>
      <c r="H32" s="9" t="s">
        <v>149</v>
      </c>
    </row>
    <row r="33" ht="14.25" customHeight="1">
      <c r="A33" s="7">
        <v>45934</v>
      </c>
      <c r="B33" s="8" t="s">
        <v>63</v>
      </c>
      <c r="C33" s="9">
        <v>27947</v>
      </c>
      <c r="D33" s="10" t="s">
        <v>20</v>
      </c>
      <c r="E33" s="10" t="s">
        <v>15</v>
      </c>
      <c r="F33" s="11">
        <f t="shared" si="0"/>
        <v>9775.13566457111</v>
      </c>
      <c r="G33" s="11">
        <f t="shared" si="1"/>
        <v>18171.864335428891</v>
      </c>
      <c r="H33" s="9"/>
    </row>
    <row r="34" ht="14.25" customHeight="1">
      <c r="A34" s="7">
        <v>45937</v>
      </c>
      <c r="B34" s="8" t="s">
        <v>19</v>
      </c>
      <c r="C34" s="9">
        <v>95941</v>
      </c>
      <c r="D34" s="10" t="s">
        <v>14</v>
      </c>
      <c r="E34" s="10" t="s">
        <v>15</v>
      </c>
      <c r="F34" s="11">
        <f t="shared" si="0"/>
        <v>33557.673123935194</v>
      </c>
      <c r="G34" s="11">
        <f t="shared" si="1"/>
        <v>62383.326876064806</v>
      </c>
      <c r="H34" s="9"/>
    </row>
    <row r="35" ht="14.25" customHeight="1">
      <c r="A35" s="7">
        <v>45937</v>
      </c>
      <c r="B35" s="8" t="s">
        <v>16</v>
      </c>
      <c r="C35" s="9">
        <v>8000</v>
      </c>
      <c r="D35" s="10" t="s">
        <v>20</v>
      </c>
      <c r="E35" s="10" t="s">
        <v>15</v>
      </c>
      <c r="F35" s="11">
        <f t="shared" si="0"/>
        <v>2798.1924827913149</v>
      </c>
      <c r="G35" s="11">
        <f t="shared" si="1"/>
        <v>5201.8075172086856</v>
      </c>
      <c r="H35" s="9" t="s">
        <v>76</v>
      </c>
    </row>
    <row r="36" ht="14.25" customHeight="1">
      <c r="A36" s="7">
        <v>45938</v>
      </c>
      <c r="B36" s="8" t="s">
        <v>62</v>
      </c>
      <c r="C36" s="9">
        <v>9672.2</v>
      </c>
      <c r="D36" s="10" t="s">
        <v>14</v>
      </c>
      <c r="E36" s="10" t="s">
        <v>15</v>
      </c>
      <c r="F36" s="11">
        <f t="shared" si="0"/>
        <v>3383.0846665067697</v>
      </c>
      <c r="G36" s="11">
        <f t="shared" si="1"/>
        <v>6289.1153334932314</v>
      </c>
      <c r="H36" s="9"/>
    </row>
    <row r="37" ht="14.25" customHeight="1">
      <c r="A37" s="7">
        <v>45938</v>
      </c>
      <c r="B37" s="8" t="s">
        <v>16</v>
      </c>
      <c r="C37" s="9">
        <v>82300</v>
      </c>
      <c r="D37" s="10" t="s">
        <v>20</v>
      </c>
      <c r="E37" s="10" t="s">
        <v>15</v>
      </c>
      <c r="F37" s="11">
        <f t="shared" si="0"/>
        <v>28786.405166715649</v>
      </c>
      <c r="G37" s="11">
        <f t="shared" si="1"/>
        <v>53513.594833284347</v>
      </c>
      <c r="H37" s="9" t="s">
        <v>150</v>
      </c>
    </row>
    <row r="38" ht="14.25" customHeight="1">
      <c r="A38" s="7">
        <v>45938</v>
      </c>
      <c r="B38" s="8" t="s">
        <v>16</v>
      </c>
      <c r="C38" s="9">
        <v>268000</v>
      </c>
      <c r="D38" s="10" t="s">
        <v>20</v>
      </c>
      <c r="E38" s="10" t="s">
        <v>15</v>
      </c>
      <c r="F38" s="11">
        <f t="shared" si="0"/>
        <v>93739.448173509038</v>
      </c>
      <c r="G38" s="11">
        <f t="shared" si="1"/>
        <v>174260.55182649096</v>
      </c>
      <c r="H38" s="9" t="s">
        <v>151</v>
      </c>
    </row>
    <row r="39" ht="14.25" customHeight="1">
      <c r="A39" s="7">
        <v>45938</v>
      </c>
      <c r="B39" s="8" t="s">
        <v>36</v>
      </c>
      <c r="C39" s="9">
        <v>8000</v>
      </c>
      <c r="D39" s="10" t="s">
        <v>14</v>
      </c>
      <c r="E39" s="10" t="s">
        <v>15</v>
      </c>
      <c r="F39" s="11">
        <f t="shared" si="0"/>
        <v>2798.1924827913149</v>
      </c>
      <c r="G39" s="11">
        <f t="shared" si="1"/>
        <v>5201.8075172086856</v>
      </c>
      <c r="H39" s="9"/>
    </row>
    <row r="40" ht="14.25" customHeight="1">
      <c r="A40" s="7">
        <v>45938</v>
      </c>
      <c r="B40" s="8" t="s">
        <v>16</v>
      </c>
      <c r="C40" s="9">
        <v>7923</v>
      </c>
      <c r="D40" s="10" t="s">
        <v>14</v>
      </c>
      <c r="E40" s="10" t="s">
        <v>15</v>
      </c>
      <c r="F40" s="11">
        <f t="shared" si="0"/>
        <v>2771.2598801444483</v>
      </c>
      <c r="G40" s="11">
        <f t="shared" si="1"/>
        <v>5151.7401198555517</v>
      </c>
      <c r="H40" s="9" t="s">
        <v>60</v>
      </c>
    </row>
    <row r="41" ht="14.25" customHeight="1">
      <c r="A41" s="7">
        <v>45939</v>
      </c>
      <c r="B41" s="8" t="s">
        <v>66</v>
      </c>
      <c r="C41" s="9">
        <v>39432.92</v>
      </c>
      <c r="D41" s="10" t="s">
        <v>14</v>
      </c>
      <c r="E41" s="10" t="s">
        <v>15</v>
      </c>
      <c r="F41" s="11">
        <f t="shared" si="0"/>
        <v>13792.61253981391</v>
      </c>
      <c r="G41" s="11">
        <f t="shared" si="1"/>
        <v>25640.307460186086</v>
      </c>
      <c r="H41" s="9"/>
    </row>
    <row r="42" ht="14.25" customHeight="1">
      <c r="A42" s="7">
        <v>45939</v>
      </c>
      <c r="B42" s="8" t="s">
        <v>123</v>
      </c>
      <c r="C42" s="9">
        <v>7863.79</v>
      </c>
      <c r="D42" s="10" t="s">
        <v>14</v>
      </c>
      <c r="E42" s="10" t="s">
        <v>15</v>
      </c>
      <c r="F42" s="11">
        <f t="shared" si="0"/>
        <v>2750.549758031189</v>
      </c>
      <c r="G42" s="11">
        <f t="shared" si="1"/>
        <v>5113.2402419688106</v>
      </c>
      <c r="H42" s="9"/>
    </row>
    <row r="43" ht="14.25" customHeight="1">
      <c r="A43" s="7">
        <v>45939</v>
      </c>
      <c r="B43" s="8" t="s">
        <v>122</v>
      </c>
      <c r="C43" s="9">
        <v>18399</v>
      </c>
      <c r="D43" s="10" t="s">
        <v>14</v>
      </c>
      <c r="E43" s="10" t="s">
        <v>15</v>
      </c>
      <c r="F43" s="11">
        <f t="shared" si="0"/>
        <v>6435.4929363596748</v>
      </c>
      <c r="G43" s="11">
        <f t="shared" si="1"/>
        <v>11963.507063640325</v>
      </c>
      <c r="H43" s="9"/>
    </row>
    <row r="44" ht="14.25" customHeight="1">
      <c r="A44" s="7">
        <v>45940</v>
      </c>
      <c r="B44" s="8" t="s">
        <v>61</v>
      </c>
      <c r="C44" s="9">
        <v>51075</v>
      </c>
      <c r="D44" s="10" t="s">
        <v>20</v>
      </c>
      <c r="E44" s="10" t="s">
        <v>15</v>
      </c>
      <c r="F44" s="11">
        <f t="shared" si="0"/>
        <v>17864.7101323208</v>
      </c>
      <c r="G44" s="11">
        <f t="shared" si="1"/>
        <v>33210.2898676792</v>
      </c>
      <c r="H44" s="9"/>
    </row>
    <row r="45" ht="14.25" customHeight="1">
      <c r="A45" s="7">
        <v>45940</v>
      </c>
      <c r="B45" s="8" t="s">
        <v>46</v>
      </c>
      <c r="C45" s="9">
        <v>17025</v>
      </c>
      <c r="D45" s="10" t="s">
        <v>20</v>
      </c>
      <c r="E45" s="10" t="s">
        <v>15</v>
      </c>
      <c r="F45" s="11">
        <f t="shared" si="0"/>
        <v>0</v>
      </c>
      <c r="G45" s="11">
        <f t="shared" si="1"/>
        <v>0</v>
      </c>
      <c r="H45" s="9"/>
    </row>
    <row r="46" ht="14.25" customHeight="1">
      <c r="A46" s="7">
        <v>45940</v>
      </c>
      <c r="B46" s="8" t="s">
        <v>16</v>
      </c>
      <c r="C46" s="9">
        <v>13600</v>
      </c>
      <c r="D46" s="10" t="s">
        <v>20</v>
      </c>
      <c r="E46" s="10" t="s">
        <v>15</v>
      </c>
      <c r="F46" s="11">
        <f t="shared" si="0"/>
        <v>4756.927220745235</v>
      </c>
      <c r="G46" s="11">
        <f t="shared" si="1"/>
        <v>8843.0727792547641</v>
      </c>
      <c r="H46" s="9" t="s">
        <v>152</v>
      </c>
    </row>
    <row r="47" ht="14.25" customHeight="1">
      <c r="A47" s="7">
        <v>45940</v>
      </c>
      <c r="B47" s="8" t="s">
        <v>46</v>
      </c>
      <c r="C47" s="9">
        <v>3400</v>
      </c>
      <c r="D47" s="10" t="s">
        <v>20</v>
      </c>
      <c r="E47" s="10" t="s">
        <v>15</v>
      </c>
      <c r="F47" s="11">
        <f t="shared" si="0"/>
        <v>0</v>
      </c>
      <c r="G47" s="11">
        <f t="shared" si="1"/>
        <v>0</v>
      </c>
      <c r="H47" s="9"/>
    </row>
    <row r="48" ht="14.25" customHeight="1">
      <c r="A48" s="7">
        <v>45941</v>
      </c>
      <c r="B48" s="8" t="s">
        <v>19</v>
      </c>
      <c r="C48" s="9">
        <v>32839</v>
      </c>
      <c r="D48" s="10" t="s">
        <v>20</v>
      </c>
      <c r="E48" s="10" t="s">
        <v>15</v>
      </c>
      <c r="F48" s="11">
        <f t="shared" si="0"/>
        <v>11486.230367797998</v>
      </c>
      <c r="G48" s="11">
        <f t="shared" si="1"/>
        <v>21352.769632202002</v>
      </c>
      <c r="H48" s="9"/>
    </row>
    <row r="49" ht="14.25" customHeight="1">
      <c r="A49" s="7">
        <v>45941</v>
      </c>
      <c r="B49" s="8" t="s">
        <v>61</v>
      </c>
      <c r="C49" s="9">
        <v>3000</v>
      </c>
      <c r="D49" s="10" t="s">
        <v>20</v>
      </c>
      <c r="E49" s="10" t="s">
        <v>15</v>
      </c>
      <c r="F49" s="11">
        <f t="shared" si="0"/>
        <v>1049.322181046743</v>
      </c>
      <c r="G49" s="11">
        <f t="shared" si="1"/>
        <v>1950.677818953257</v>
      </c>
      <c r="H49" s="9"/>
    </row>
    <row r="50" ht="14.25" customHeight="1">
      <c r="A50" s="7">
        <v>45954</v>
      </c>
      <c r="B50" s="8" t="s">
        <v>127</v>
      </c>
      <c r="C50" s="9">
        <v>22048</v>
      </c>
      <c r="D50" s="10" t="s">
        <v>14</v>
      </c>
      <c r="E50" s="10" t="s">
        <v>15</v>
      </c>
      <c r="F50" s="11">
        <f t="shared" si="0"/>
        <v>7711.8184825728631</v>
      </c>
      <c r="G50" s="11">
        <f t="shared" si="1"/>
        <v>14336.181517427136</v>
      </c>
      <c r="H50" s="9"/>
    </row>
    <row r="51" ht="14.25" customHeight="1">
      <c r="A51" s="7">
        <v>45952</v>
      </c>
      <c r="B51" s="8" t="s">
        <v>16</v>
      </c>
      <c r="C51" s="9">
        <v>11100</v>
      </c>
      <c r="D51" s="10" t="s">
        <v>14</v>
      </c>
      <c r="E51" s="10" t="s">
        <v>15</v>
      </c>
      <c r="F51" s="11">
        <f t="shared" si="0"/>
        <v>3882.4920698729493</v>
      </c>
      <c r="G51" s="11">
        <f t="shared" si="1"/>
        <v>7217.5079301270507</v>
      </c>
      <c r="H51" s="9" t="s">
        <v>60</v>
      </c>
    </row>
    <row r="52" ht="14.25" customHeight="1">
      <c r="A52" s="7">
        <v>45953</v>
      </c>
      <c r="B52" s="8" t="s">
        <v>16</v>
      </c>
      <c r="C52" s="9">
        <v>8500</v>
      </c>
      <c r="D52" s="10" t="s">
        <v>14</v>
      </c>
      <c r="E52" s="10" t="s">
        <v>15</v>
      </c>
      <c r="F52" s="11">
        <f t="shared" si="0"/>
        <v>2973.0795129657718</v>
      </c>
      <c r="G52" s="11">
        <f t="shared" si="1"/>
        <v>5526.9204870342282</v>
      </c>
      <c r="H52" s="9" t="s">
        <v>60</v>
      </c>
    </row>
    <row r="53" ht="14.25" customHeight="1">
      <c r="A53" s="7">
        <v>45953</v>
      </c>
      <c r="B53" s="8" t="s">
        <v>27</v>
      </c>
      <c r="C53" s="9">
        <f>97381.43-19817</f>
        <v>77564.43</v>
      </c>
      <c r="D53" s="10" t="s">
        <v>20</v>
      </c>
      <c r="E53" s="10" t="s">
        <v>15</v>
      </c>
      <c r="F53" s="11">
        <f t="shared" si="0"/>
        <v>27130.02561974914</v>
      </c>
      <c r="G53" s="11">
        <f t="shared" si="1"/>
        <v>50434.404380250853</v>
      </c>
      <c r="H53" s="9"/>
    </row>
    <row r="54" ht="14.25" customHeight="1">
      <c r="A54" s="7">
        <v>45955</v>
      </c>
      <c r="B54" s="8" t="s">
        <v>68</v>
      </c>
      <c r="C54" s="9">
        <v>19866</v>
      </c>
      <c r="D54" s="10" t="s">
        <v>14</v>
      </c>
      <c r="E54" s="10" t="s">
        <v>15</v>
      </c>
      <c r="F54" s="11">
        <f t="shared" si="0"/>
        <v>6948.6114828915324</v>
      </c>
      <c r="G54" s="11">
        <f t="shared" si="1"/>
        <v>12917.388517108468</v>
      </c>
      <c r="H54" s="9" t="s">
        <v>153</v>
      </c>
    </row>
    <row r="55" ht="14.25" customHeight="1">
      <c r="A55" s="7">
        <v>45956</v>
      </c>
      <c r="B55" s="8" t="s">
        <v>36</v>
      </c>
      <c r="C55" s="9">
        <v>88700</v>
      </c>
      <c r="D55" s="10" t="s">
        <v>20</v>
      </c>
      <c r="E55" s="10" t="s">
        <v>15</v>
      </c>
      <c r="F55" s="11">
        <f t="shared" si="0"/>
        <v>31024.9591529487</v>
      </c>
      <c r="G55" s="11">
        <f t="shared" si="1"/>
        <v>57675.0408470513</v>
      </c>
      <c r="H55" s="9"/>
    </row>
    <row r="56" ht="14.25" customHeight="1">
      <c r="A56" s="7">
        <v>45956</v>
      </c>
      <c r="B56" s="8" t="s">
        <v>16</v>
      </c>
      <c r="C56" s="9">
        <v>84000</v>
      </c>
      <c r="D56" s="10" t="s">
        <v>20</v>
      </c>
      <c r="E56" s="10" t="s">
        <v>15</v>
      </c>
      <c r="F56" s="11">
        <f t="shared" si="0"/>
        <v>29381.021069308805</v>
      </c>
      <c r="G56" s="11">
        <f t="shared" si="1"/>
        <v>54618.9789306912</v>
      </c>
      <c r="H56" s="9" t="s">
        <v>124</v>
      </c>
    </row>
    <row r="57" ht="14.25" customHeight="1">
      <c r="A57" s="7">
        <v>45957</v>
      </c>
      <c r="B57" s="8" t="s">
        <v>35</v>
      </c>
      <c r="C57" s="9">
        <v>16601</v>
      </c>
      <c r="D57" s="10" t="s">
        <v>20</v>
      </c>
      <c r="E57" s="10" t="s">
        <v>15</v>
      </c>
      <c r="F57" s="11">
        <f t="shared" si="0"/>
        <v>5806.5991758523269</v>
      </c>
      <c r="G57" s="11">
        <f t="shared" si="1"/>
        <v>10794.400824147673</v>
      </c>
      <c r="H57" s="9"/>
    </row>
    <row r="58" ht="14.25" customHeight="1">
      <c r="A58" s="7">
        <v>45955</v>
      </c>
      <c r="B58" s="8" t="s">
        <v>61</v>
      </c>
      <c r="C58" s="9">
        <v>24910</v>
      </c>
      <c r="D58" s="10" t="s">
        <v>14</v>
      </c>
      <c r="E58" s="10" t="s">
        <v>15</v>
      </c>
      <c r="F58" s="11">
        <f t="shared" si="0"/>
        <v>8712.8718432914557</v>
      </c>
      <c r="G58" s="11">
        <f t="shared" si="1"/>
        <v>16197.128156708544</v>
      </c>
      <c r="H58" s="9"/>
    </row>
    <row r="59" ht="14.25" customHeight="1">
      <c r="A59" s="7">
        <v>45958</v>
      </c>
      <c r="B59" s="8" t="s">
        <v>27</v>
      </c>
      <c r="C59" s="9">
        <v>152246.89</v>
      </c>
      <c r="D59" s="10" t="s">
        <v>14</v>
      </c>
      <c r="E59" s="10" t="s">
        <v>15</v>
      </c>
      <c r="F59" s="11">
        <f t="shared" si="0"/>
        <v>53252.012890794525</v>
      </c>
      <c r="G59" s="11">
        <f t="shared" si="1"/>
        <v>98994.877109205481</v>
      </c>
      <c r="H59" s="9"/>
    </row>
    <row r="60" ht="14.25" customHeight="1">
      <c r="A60" s="7">
        <v>45960</v>
      </c>
      <c r="B60" s="8" t="s">
        <v>63</v>
      </c>
      <c r="C60" s="9">
        <v>33742</v>
      </c>
      <c r="D60" s="10" t="s">
        <v>20</v>
      </c>
      <c r="E60" s="10" t="s">
        <v>15</v>
      </c>
      <c r="F60" s="11">
        <f t="shared" si="0"/>
        <v>11802.076344293067</v>
      </c>
      <c r="G60" s="11">
        <f t="shared" si="1"/>
        <v>21939.923655706931</v>
      </c>
      <c r="H60" s="9"/>
    </row>
    <row r="61" ht="14.25" customHeight="1">
      <c r="A61" s="7">
        <v>45961</v>
      </c>
      <c r="B61" s="8" t="s">
        <v>36</v>
      </c>
      <c r="C61" s="9">
        <v>8000</v>
      </c>
      <c r="D61" s="10" t="s">
        <v>14</v>
      </c>
      <c r="E61" s="10" t="s">
        <v>15</v>
      </c>
      <c r="F61" s="11">
        <f t="shared" si="0"/>
        <v>2798.1924827913149</v>
      </c>
      <c r="G61" s="11">
        <f t="shared" si="1"/>
        <v>5201.8075172086856</v>
      </c>
      <c r="H61" s="9" t="s">
        <v>154</v>
      </c>
    </row>
    <row r="62" ht="14.25" customHeight="1">
      <c r="A62" s="7">
        <v>45961</v>
      </c>
      <c r="B62" s="8" t="s">
        <v>19</v>
      </c>
      <c r="C62" s="9">
        <v>25993.16</v>
      </c>
      <c r="D62" s="10" t="s">
        <v>14</v>
      </c>
      <c r="E62" s="10" t="s">
        <v>15</v>
      </c>
      <c r="F62" s="11">
        <f t="shared" si="0"/>
        <v>9091.7331144989857</v>
      </c>
      <c r="G62" s="11">
        <f t="shared" si="1"/>
        <v>16901.426885501012</v>
      </c>
      <c r="H62" s="9"/>
    </row>
    <row r="63" ht="14.25" customHeight="1">
      <c r="A63" s="7">
        <v>45961</v>
      </c>
      <c r="B63" s="8" t="s">
        <v>61</v>
      </c>
      <c r="C63" s="9">
        <v>65666.23</v>
      </c>
      <c r="D63" s="10" t="s">
        <v>14</v>
      </c>
      <c r="E63" s="10" t="s">
        <v>15</v>
      </c>
      <c r="F63" s="11">
        <f t="shared" si="0"/>
        <v>22968.343894905687</v>
      </c>
      <c r="G63" s="11">
        <f t="shared" si="1"/>
        <v>42697.886105094309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t="shared" si="0"/>
        <v>0</v>
      </c>
      <c r="G66" s="11">
        <f t="shared" si="1"/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0"/>
        <v>0</v>
      </c>
      <c r="G67" s="11">
        <f t="shared" si="1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0"/>
        <v>0</v>
      </c>
      <c r="G68" s="11">
        <f t="shared" si="1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0"/>
        <v>0</v>
      </c>
      <c r="G69" s="11">
        <f t="shared" si="1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0"/>
        <v>0</v>
      </c>
      <c r="G70" s="11">
        <f t="shared" si="1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0"/>
        <v>0</v>
      </c>
      <c r="G71" s="11">
        <f t="shared" si="1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0"/>
        <v>0</v>
      </c>
      <c r="G72" s="11">
        <f t="shared" si="1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0"/>
        <v>0</v>
      </c>
      <c r="G73" s="11">
        <f t="shared" si="1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0"/>
        <v>0</v>
      </c>
      <c r="G74" s="11">
        <f t="shared" si="1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0"/>
        <v>0</v>
      </c>
      <c r="G75" s="11">
        <f t="shared" si="1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0"/>
        <v>0</v>
      </c>
      <c r="G76" s="11">
        <f t="shared" si="1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0"/>
        <v>0</v>
      </c>
      <c r="G77" s="11">
        <f t="shared" si="1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0"/>
        <v>0</v>
      </c>
      <c r="G78" s="11">
        <f t="shared" si="1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0"/>
        <v>0</v>
      </c>
      <c r="G79" s="11">
        <f t="shared" si="1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0"/>
        <v>0</v>
      </c>
      <c r="G80" s="11">
        <f t="shared" si="1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0"/>
        <v>0</v>
      </c>
      <c r="G81" s="11">
        <f t="shared" si="1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0"/>
        <v>0</v>
      </c>
      <c r="G82" s="11">
        <f t="shared" si="1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0"/>
        <v>0</v>
      </c>
      <c r="G83" s="11">
        <f t="shared" si="1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0"/>
        <v>0</v>
      </c>
      <c r="G84" s="11">
        <f t="shared" si="1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0"/>
        <v>0</v>
      </c>
      <c r="G85" s="11">
        <f t="shared" si="1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0"/>
        <v>0</v>
      </c>
      <c r="G86" s="11">
        <f t="shared" si="1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0"/>
        <v>0</v>
      </c>
      <c r="G87" s="11">
        <f t="shared" si="1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0"/>
        <v>0</v>
      </c>
      <c r="G88" s="11">
        <f t="shared" si="1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0"/>
        <v>0</v>
      </c>
      <c r="G89" s="11">
        <f t="shared" si="1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0"/>
        <v>0</v>
      </c>
      <c r="G90" s="11">
        <f t="shared" si="1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0"/>
        <v>0</v>
      </c>
      <c r="G91" s="11">
        <f t="shared" si="1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0"/>
        <v>0</v>
      </c>
      <c r="G92" s="11">
        <f t="shared" si="1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0"/>
        <v>0</v>
      </c>
      <c r="G93" s="11">
        <f t="shared" si="1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0"/>
        <v>0</v>
      </c>
      <c r="G94" s="11">
        <f t="shared" si="1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0"/>
        <v>0</v>
      </c>
      <c r="G95" s="11">
        <f t="shared" si="1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0"/>
        <v>0</v>
      </c>
      <c r="G96" s="11">
        <f t="shared" si="1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0"/>
        <v>0</v>
      </c>
      <c r="G97" s="11">
        <f t="shared" si="1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0"/>
        <v>0</v>
      </c>
      <c r="G98" s="11">
        <f t="shared" si="1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0"/>
        <v>0</v>
      </c>
      <c r="G99" s="11">
        <f t="shared" si="1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0"/>
        <v>0</v>
      </c>
      <c r="G100" s="11">
        <f t="shared" si="1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 D4:D14 D17:D50" xr:uid="{00000000-0002-0000-0400-000000000000}">
      <formula1>Quien</formula1>
    </dataValidation>
    <dataValidation type="list" allowBlank="1" showErrorMessage="1" sqref="E2 E4:E14 E17:E50" xr:uid="{00000000-0002-0000-0400-000001000000}">
      <formula1>Proporcional</formula1>
    </dataValidation>
    <dataValidation type="list" allowBlank="1" showErrorMessage="1" sqref="B2 B4:B14 B17:B50" xr:uid="{00000000-0002-0000-0400-000002000000}">
      <formula1>Tipo</formula1>
    </dataValidation>
    <dataValidation type="decimal" allowBlank="1" showErrorMessage="1" sqref="C2 C4:C14 C17:C50" xr:uid="{00000000-0002-0000-0400-000003000000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30"/>
  <dimension ref="A1:N104"/>
  <sheetViews>
    <sheetView tabSelected="1" zoomScale="85" zoomScaleNormal="85" workbookViewId="0">
      <selection activeCell="J18" sqref="J18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3.36328125" customWidth="1"/>
    <col min="6" max="7" hidden="1" width="13.36328125" customWidth="1"/>
    <col min="8" max="8" bestFit="1" width="22.1796875" customWidth="1"/>
    <col min="9" max="9" width="3.7265625" customWidth="1"/>
    <col min="10" max="10" bestFit="1" width="16.36328125" customWidth="1"/>
    <col min="11" max="11" width="13.7265625" customWidth="1"/>
    <col min="12" max="12" bestFit="1" width="13.632812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45839</v>
      </c>
      <c r="B2" s="8" t="s">
        <v>16</v>
      </c>
      <c r="C2" s="9">
        <v>50000</v>
      </c>
      <c r="D2" s="10" t="s">
        <v>14</v>
      </c>
      <c r="E2" s="10" t="s">
        <v>15</v>
      </c>
      <c r="F2" s="11">
        <f ref="F2:F100" t="shared" si="0">IF(B2="Consolidación",0,IF(E2="NO",C2*0.5,C2*$K$10))</f>
        <v>20036.797196226908</v>
      </c>
      <c r="G2" s="11">
        <f ref="G2:G100" t="shared" si="1">IF(B2="Consolidación",0,IF(E2="NO",C2*0.5,C2*$K$11))</f>
        <v>29963.202803773092</v>
      </c>
      <c r="H2" s="9" t="s">
        <v>155</v>
      </c>
      <c r="I2" s="11"/>
      <c r="J2" s="12">
        <f>SUM(K2,L2)</f>
        <v>1541220.2199999997</v>
      </c>
      <c r="K2" s="12">
        <f>SUMIF(D2:D100,"Andrea",C2:C100)-SUMIFS(C2:C100,B2:B100,"Consolidación",D2:D100,"Juan")</f>
        <v>347444.12</v>
      </c>
      <c r="L2" s="12">
        <f>SUMIF(D2:D100,"Juan",C2:C100)-SUMIFS(C2:C100,B2:B100,"Consolidación",D2:D100,"Andrea")</f>
        <v>1193776.0999999999</v>
      </c>
      <c r="M2" s="13">
        <f>SUM(F2:F500)-K2+'Octubre-25'!M2</f>
        <v>256642.51606587553</v>
      </c>
      <c r="N2" s="13">
        <f>SUM(G2:G500)-L2+'Octubre-25'!N2</f>
        <v>-256642.5160658746</v>
      </c>
    </row>
    <row r="3" ht="14.25" customHeight="1">
      <c r="A3" s="7">
        <v>45839</v>
      </c>
      <c r="B3" s="8" t="s">
        <v>16</v>
      </c>
      <c r="C3" s="9">
        <v>5854</v>
      </c>
      <c r="D3" s="10" t="s">
        <v>14</v>
      </c>
      <c r="E3" s="10" t="s">
        <v>15</v>
      </c>
      <c r="F3" s="11">
        <f t="shared" si="0"/>
        <v>2345.9082157342464</v>
      </c>
      <c r="G3" s="11">
        <f t="shared" si="1"/>
        <v>3508.0917842657536</v>
      </c>
      <c r="H3" s="9" t="s">
        <v>156</v>
      </c>
      <c r="I3" s="11"/>
    </row>
    <row r="4" ht="14.25" customHeight="1">
      <c r="A4" s="7">
        <v>45870</v>
      </c>
      <c r="B4" s="8" t="s">
        <v>16</v>
      </c>
      <c r="C4" s="9">
        <v>28291.33</v>
      </c>
      <c r="D4" s="10" t="s">
        <v>14</v>
      </c>
      <c r="E4" s="10" t="s">
        <v>15</v>
      </c>
      <c r="F4" s="11">
        <f t="shared" si="0"/>
        <v>11337.352832430604</v>
      </c>
      <c r="G4" s="11">
        <f t="shared" si="1"/>
        <v>16953.977167569396</v>
      </c>
      <c r="H4" s="9" t="s">
        <v>157</v>
      </c>
      <c r="I4" s="11"/>
    </row>
    <row r="5" ht="14.25" customHeight="1">
      <c r="A5" s="7">
        <v>45870</v>
      </c>
      <c r="B5" s="8" t="s">
        <v>16</v>
      </c>
      <c r="C5" s="9">
        <v>7321.33</v>
      </c>
      <c r="D5" s="10" t="s">
        <v>14</v>
      </c>
      <c r="E5" s="10" t="s">
        <v>15</v>
      </c>
      <c r="F5" s="11">
        <f t="shared" si="0"/>
        <v>2933.9200883330391</v>
      </c>
      <c r="G5" s="11">
        <f t="shared" si="1"/>
        <v>4387.4099116669613</v>
      </c>
      <c r="H5" s="9" t="s">
        <v>158</v>
      </c>
      <c r="I5" s="11"/>
    </row>
    <row r="6" ht="14.25" customHeight="1">
      <c r="A6" s="7">
        <v>45870</v>
      </c>
      <c r="B6" s="8" t="s">
        <v>16</v>
      </c>
      <c r="C6" s="9">
        <v>31333</v>
      </c>
      <c r="D6" s="10" t="s">
        <v>20</v>
      </c>
      <c r="E6" s="10" t="s">
        <v>15</v>
      </c>
      <c r="F6" s="11">
        <f t="shared" si="0"/>
        <v>12556.259330987554</v>
      </c>
      <c r="G6" s="11">
        <f t="shared" si="1"/>
        <v>18776.740669012444</v>
      </c>
      <c r="H6" s="9" t="s">
        <v>159</v>
      </c>
      <c r="I6" s="11"/>
    </row>
    <row r="7" ht="14.25" customHeight="1">
      <c r="A7" s="7">
        <v>45870</v>
      </c>
      <c r="B7" s="8" t="s">
        <v>19</v>
      </c>
      <c r="C7" s="9">
        <v>4652</v>
      </c>
      <c r="D7" s="10" t="s">
        <v>20</v>
      </c>
      <c r="E7" s="10" t="s">
        <v>15</v>
      </c>
      <c r="F7" s="11">
        <f t="shared" si="0"/>
        <v>1864.2236111369514</v>
      </c>
      <c r="G7" s="11">
        <f t="shared" si="1"/>
        <v>2787.7763888630484</v>
      </c>
      <c r="H7" s="9" t="s">
        <v>160</v>
      </c>
      <c r="I7" s="11"/>
      <c r="J7" s="10" t="s">
        <v>24</v>
      </c>
      <c r="K7" s="14">
        <v>2067759</v>
      </c>
    </row>
    <row r="8" ht="14.25" customHeight="1">
      <c r="A8" s="7">
        <v>45870</v>
      </c>
      <c r="B8" s="8" t="s">
        <v>16</v>
      </c>
      <c r="C8" s="9">
        <v>7667.78</v>
      </c>
      <c r="D8" s="10" t="s">
        <v>20</v>
      </c>
      <c r="E8" s="10" t="s">
        <v>15</v>
      </c>
      <c r="F8" s="11">
        <f t="shared" si="0"/>
        <v>3072.7550561056951</v>
      </c>
      <c r="G8" s="11">
        <f t="shared" si="1"/>
        <v>4595.0249438943047</v>
      </c>
      <c r="H8" s="9" t="s">
        <v>160</v>
      </c>
      <c r="I8" s="11"/>
      <c r="J8" s="10" t="s">
        <v>25</v>
      </c>
      <c r="K8" s="14">
        <v>3092145</v>
      </c>
    </row>
    <row r="9" ht="14.25" customHeight="1">
      <c r="A9" s="7">
        <v>45870</v>
      </c>
      <c r="B9" s="8" t="s">
        <v>16</v>
      </c>
      <c r="C9" s="9">
        <v>20216.67</v>
      </c>
      <c r="D9" s="10" t="s">
        <v>20</v>
      </c>
      <c r="E9" s="10" t="s">
        <v>15</v>
      </c>
      <c r="F9" s="11">
        <f t="shared" si="0"/>
        <v>8101.5463354608919</v>
      </c>
      <c r="G9" s="11">
        <f t="shared" si="1"/>
        <v>12115.123664539105</v>
      </c>
      <c r="H9" s="9" t="s">
        <v>161</v>
      </c>
      <c r="I9" s="11"/>
      <c r="J9" s="10" t="s">
        <v>8</v>
      </c>
      <c r="K9" s="14">
        <f>SUM(K7:K8)</f>
        <v>5159904</v>
      </c>
    </row>
    <row r="10" ht="14.25" customHeight="1">
      <c r="A10" s="7">
        <v>45870</v>
      </c>
      <c r="B10" s="8" t="s">
        <v>16</v>
      </c>
      <c r="C10" s="9">
        <v>25213</v>
      </c>
      <c r="D10" s="10" t="s">
        <v>20</v>
      </c>
      <c r="E10" s="10" t="s">
        <v>15</v>
      </c>
      <c r="F10" s="11">
        <f t="shared" si="0"/>
        <v>10103.75535416938</v>
      </c>
      <c r="G10" s="11">
        <f t="shared" si="1"/>
        <v>15109.24464583062</v>
      </c>
      <c r="H10" s="9" t="s">
        <v>162</v>
      </c>
      <c r="I10" s="11"/>
      <c r="J10" s="10" t="s">
        <v>28</v>
      </c>
      <c r="K10" s="15">
        <f>K7/K9</f>
        <v>0.40073594392453815</v>
      </c>
    </row>
    <row r="11" ht="14.25" customHeight="1">
      <c r="A11" s="7">
        <v>45892</v>
      </c>
      <c r="B11" s="8" t="s">
        <v>16</v>
      </c>
      <c r="C11" s="9">
        <v>5617</v>
      </c>
      <c r="D11" s="10" t="s">
        <v>20</v>
      </c>
      <c r="E11" s="10" t="s">
        <v>15</v>
      </c>
      <c r="F11" s="11">
        <f t="shared" si="0"/>
        <v>2250.9337970241309</v>
      </c>
      <c r="G11" s="11">
        <f t="shared" si="1"/>
        <v>3366.0662029758691</v>
      </c>
      <c r="H11" s="9" t="s">
        <v>160</v>
      </c>
      <c r="I11" s="11"/>
      <c r="J11" s="10" t="s">
        <v>30</v>
      </c>
      <c r="K11" s="15">
        <f>K8/K9</f>
        <v>0.59926405607546185</v>
      </c>
    </row>
    <row r="12" ht="14.25" customHeight="1">
      <c r="A12" s="7">
        <v>45904</v>
      </c>
      <c r="B12" s="8" t="s">
        <v>79</v>
      </c>
      <c r="C12" s="9">
        <v>33000</v>
      </c>
      <c r="D12" s="10" t="s">
        <v>20</v>
      </c>
      <c r="E12" s="10" t="s">
        <v>15</v>
      </c>
      <c r="F12" s="11">
        <f t="shared" si="0"/>
        <v>13224.286149509759</v>
      </c>
      <c r="G12" s="11">
        <f t="shared" si="1"/>
        <v>19775.71385049024</v>
      </c>
      <c r="H12" s="9" t="s">
        <v>88</v>
      </c>
      <c r="I12" s="11"/>
    </row>
    <row r="13" ht="14.25" customHeight="1">
      <c r="A13" s="7">
        <v>45931</v>
      </c>
      <c r="B13" s="8" t="s">
        <v>16</v>
      </c>
      <c r="C13" s="9">
        <v>11666.33</v>
      </c>
      <c r="D13" s="10" t="s">
        <v>14</v>
      </c>
      <c r="E13" s="10" t="s">
        <v>15</v>
      </c>
      <c r="F13" s="11">
        <f t="shared" si="0"/>
        <v>4675.1177646851575</v>
      </c>
      <c r="G13" s="11">
        <f t="shared" si="1"/>
        <v>6991.2122353148425</v>
      </c>
      <c r="H13" s="9" t="s">
        <v>163</v>
      </c>
      <c r="I13" s="11"/>
    </row>
    <row r="14" ht="14.25" customHeight="1">
      <c r="A14" s="7">
        <v>45931</v>
      </c>
      <c r="B14" s="8" t="s">
        <v>68</v>
      </c>
      <c r="C14" s="9">
        <v>47075</v>
      </c>
      <c r="D14" s="10" t="s">
        <v>14</v>
      </c>
      <c r="E14" s="10" t="s">
        <v>15</v>
      </c>
      <c r="F14" s="11">
        <f t="shared" si="0"/>
        <v>18864.644560247634</v>
      </c>
      <c r="G14" s="11">
        <f t="shared" si="1"/>
        <v>28210.355439752366</v>
      </c>
      <c r="H14" s="9" t="s">
        <v>164</v>
      </c>
      <c r="I14" s="11"/>
    </row>
    <row r="15" ht="14.25" customHeight="1">
      <c r="A15" s="7">
        <v>45931</v>
      </c>
      <c r="B15" s="8" t="s">
        <v>37</v>
      </c>
      <c r="C15" s="9">
        <v>30450</v>
      </c>
      <c r="D15" s="10" t="s">
        <v>14</v>
      </c>
      <c r="E15" s="10" t="s">
        <v>15</v>
      </c>
      <c r="F15" s="11">
        <f t="shared" si="0"/>
        <v>12202.409492502187</v>
      </c>
      <c r="G15" s="11">
        <f t="shared" si="1"/>
        <v>18247.590507497815</v>
      </c>
      <c r="H15" s="9" t="s">
        <v>165</v>
      </c>
      <c r="I15" s="11"/>
      <c r="K15" s="16"/>
    </row>
    <row r="16" ht="14.25" customHeight="1">
      <c r="A16" s="7">
        <v>45931</v>
      </c>
      <c r="B16" s="8" t="s">
        <v>16</v>
      </c>
      <c r="C16" s="9">
        <v>8667</v>
      </c>
      <c r="D16" s="10" t="s">
        <v>14</v>
      </c>
      <c r="E16" s="10" t="s">
        <v>15</v>
      </c>
      <c r="F16" s="11">
        <f t="shared" si="0"/>
        <v>3473.1784259939723</v>
      </c>
      <c r="G16" s="11">
        <f t="shared" si="1"/>
        <v>5193.8215740060277</v>
      </c>
      <c r="H16" s="9" t="s">
        <v>166</v>
      </c>
      <c r="I16" s="11"/>
    </row>
    <row r="17" ht="14.25" customHeight="1">
      <c r="A17" s="7">
        <v>45931</v>
      </c>
      <c r="B17" s="8" t="s">
        <v>68</v>
      </c>
      <c r="C17" s="9">
        <v>17780</v>
      </c>
      <c r="D17" s="10" t="s">
        <v>14</v>
      </c>
      <c r="E17" s="10" t="s">
        <v>15</v>
      </c>
      <c r="F17" s="11">
        <f t="shared" si="0"/>
        <v>7125.0850829782885</v>
      </c>
      <c r="G17" s="11">
        <f t="shared" si="1"/>
        <v>10654.914917021712</v>
      </c>
      <c r="H17" s="9" t="s">
        <v>167</v>
      </c>
      <c r="I17" s="11"/>
    </row>
    <row r="18" ht="14.25" customHeight="1">
      <c r="A18" s="7">
        <v>45962</v>
      </c>
      <c r="B18" s="8" t="s">
        <v>68</v>
      </c>
      <c r="C18" s="9">
        <v>18333.33</v>
      </c>
      <c r="D18" s="10" t="s">
        <v>14</v>
      </c>
      <c r="E18" s="10" t="s">
        <v>15</v>
      </c>
      <c r="F18" s="11">
        <f t="shared" si="0"/>
        <v>7346.824302830054</v>
      </c>
      <c r="G18" s="11">
        <f t="shared" si="1"/>
        <v>10986.505697169949</v>
      </c>
      <c r="H18" s="9" t="s">
        <v>168</v>
      </c>
      <c r="I18" s="11"/>
    </row>
    <row r="19" ht="14.25" customHeight="1">
      <c r="A19" s="7">
        <v>45962</v>
      </c>
      <c r="B19" s="8" t="s">
        <v>16</v>
      </c>
      <c r="C19" s="9">
        <v>16046.67</v>
      </c>
      <c r="D19" s="10" t="s">
        <v>20</v>
      </c>
      <c r="E19" s="10" t="s">
        <v>15</v>
      </c>
      <c r="F19" s="11">
        <f t="shared" si="0"/>
        <v>6430.4774492955685</v>
      </c>
      <c r="G19" s="11">
        <f t="shared" si="1"/>
        <v>9616.19255070443</v>
      </c>
      <c r="H19" s="9" t="s">
        <v>169</v>
      </c>
      <c r="I19" s="11"/>
    </row>
    <row r="20" ht="14.25" customHeight="1">
      <c r="A20" s="7">
        <v>45962</v>
      </c>
      <c r="B20" s="8" t="s">
        <v>16</v>
      </c>
      <c r="C20" s="9">
        <v>151833.34</v>
      </c>
      <c r="D20" s="10" t="s">
        <v>14</v>
      </c>
      <c r="E20" s="10" t="s">
        <v>15</v>
      </c>
      <c r="F20" s="11">
        <f t="shared" si="0"/>
        <v>60845.076824115335</v>
      </c>
      <c r="G20" s="11">
        <f t="shared" si="1"/>
        <v>90988.263175884669</v>
      </c>
      <c r="H20" s="9" t="s">
        <v>170</v>
      </c>
      <c r="I20" s="11"/>
    </row>
    <row r="21" ht="14.25" customHeight="1">
      <c r="A21" s="7">
        <v>45955</v>
      </c>
      <c r="B21" s="8" t="s">
        <v>68</v>
      </c>
      <c r="C21" s="9">
        <v>19866</v>
      </c>
      <c r="D21" s="10" t="s">
        <v>14</v>
      </c>
      <c r="E21" s="10" t="s">
        <v>15</v>
      </c>
      <c r="F21" s="11">
        <f t="shared" si="0"/>
        <v>7961.0202620048749</v>
      </c>
      <c r="G21" s="11">
        <f t="shared" si="1"/>
        <v>11904.979737995125</v>
      </c>
      <c r="H21" s="9" t="s">
        <v>171</v>
      </c>
      <c r="I21" s="11"/>
    </row>
    <row r="22" ht="14.25" customHeight="1">
      <c r="A22" s="7">
        <v>45963</v>
      </c>
      <c r="B22" s="8" t="s">
        <v>49</v>
      </c>
      <c r="C22" s="9">
        <v>54977</v>
      </c>
      <c r="D22" s="10" t="s">
        <v>14</v>
      </c>
      <c r="E22" s="10" t="s">
        <v>15</v>
      </c>
      <c r="F22" s="11">
        <f t="shared" si="0"/>
        <v>22031.259989139333</v>
      </c>
      <c r="G22" s="11">
        <f t="shared" si="1"/>
        <v>32945.740010860667</v>
      </c>
      <c r="H22" s="9"/>
      <c r="I22" s="11"/>
    </row>
    <row r="23" ht="14.25" customHeight="1">
      <c r="A23" s="7">
        <v>45962</v>
      </c>
      <c r="B23" s="8" t="s">
        <v>16</v>
      </c>
      <c r="C23" s="9">
        <v>10100</v>
      </c>
      <c r="D23" s="10" t="s">
        <v>14</v>
      </c>
      <c r="E23" s="10" t="s">
        <v>15</v>
      </c>
      <c r="F23" s="11">
        <f t="shared" si="0"/>
        <v>4047.4330336378353</v>
      </c>
      <c r="G23" s="11">
        <f t="shared" si="1"/>
        <v>6052.5669663621647</v>
      </c>
      <c r="H23" s="9" t="s">
        <v>97</v>
      </c>
      <c r="I23" s="11"/>
    </row>
    <row r="24" ht="14.25" customHeight="1">
      <c r="A24" s="7">
        <v>45964</v>
      </c>
      <c r="B24" s="8" t="s">
        <v>27</v>
      </c>
      <c r="C24" s="9">
        <v>14651.56</v>
      </c>
      <c r="D24" s="10" t="s">
        <v>14</v>
      </c>
      <c r="E24" s="10" t="s">
        <v>15</v>
      </c>
      <c r="F24" s="11">
        <f t="shared" si="0"/>
        <v>5871.4067265670064</v>
      </c>
      <c r="G24" s="11">
        <f t="shared" si="1"/>
        <v>8780.153273432994</v>
      </c>
      <c r="H24" s="9"/>
      <c r="I24" s="11"/>
    </row>
    <row r="25" ht="14.25" customHeight="1">
      <c r="A25" s="7">
        <v>45965</v>
      </c>
      <c r="B25" s="8" t="s">
        <v>51</v>
      </c>
      <c r="C25" s="9">
        <v>212106.04</v>
      </c>
      <c r="D25" s="10" t="s">
        <v>14</v>
      </c>
      <c r="E25" s="10" t="s">
        <v>15</v>
      </c>
      <c r="F25" s="11">
        <f t="shared" si="0"/>
        <v>84998.514151495852</v>
      </c>
      <c r="G25" s="11">
        <f t="shared" si="1"/>
        <v>127107.52584850416</v>
      </c>
      <c r="H25" s="9"/>
      <c r="I25" s="11"/>
    </row>
    <row r="26" ht="14.25" customHeight="1">
      <c r="A26" s="7">
        <v>45966</v>
      </c>
      <c r="B26" s="8" t="s">
        <v>54</v>
      </c>
      <c r="C26" s="9">
        <v>15000</v>
      </c>
      <c r="D26" s="10" t="s">
        <v>20</v>
      </c>
      <c r="E26" s="10" t="s">
        <v>15</v>
      </c>
      <c r="F26" s="11">
        <f t="shared" si="0"/>
        <v>6011.0391588680723</v>
      </c>
      <c r="G26" s="11">
        <f t="shared" si="1"/>
        <v>8988.9608411319277</v>
      </c>
      <c r="H26" s="9"/>
      <c r="I26" s="11"/>
    </row>
    <row r="27" ht="14.25" customHeight="1">
      <c r="A27" s="7">
        <v>45966</v>
      </c>
      <c r="B27" s="8" t="s">
        <v>61</v>
      </c>
      <c r="C27" s="9">
        <v>55075</v>
      </c>
      <c r="D27" s="10" t="s">
        <v>14</v>
      </c>
      <c r="E27" s="10" t="s">
        <v>15</v>
      </c>
      <c r="F27" s="11">
        <f t="shared" si="0"/>
        <v>22070.532111643937</v>
      </c>
      <c r="G27" s="11">
        <f t="shared" si="1"/>
        <v>33004.467888356063</v>
      </c>
      <c r="H27" s="9"/>
      <c r="I27" s="11"/>
    </row>
    <row r="28" ht="14.25" customHeight="1">
      <c r="A28" s="7">
        <v>45967</v>
      </c>
      <c r="B28" s="8" t="s">
        <v>27</v>
      </c>
      <c r="C28" s="9">
        <v>250134.53</v>
      </c>
      <c r="D28" s="10" t="s">
        <v>14</v>
      </c>
      <c r="E28" s="10" t="s">
        <v>15</v>
      </c>
      <c r="F28" s="11">
        <f t="shared" si="0"/>
        <v>100237.89698767071</v>
      </c>
      <c r="G28" s="11">
        <f t="shared" si="1"/>
        <v>149896.63301232929</v>
      </c>
      <c r="H28" s="9"/>
    </row>
    <row r="29" ht="14.25" customHeight="1">
      <c r="A29" s="7">
        <v>45967</v>
      </c>
      <c r="B29" s="8" t="s">
        <v>52</v>
      </c>
      <c r="C29" s="9">
        <v>9971.6</v>
      </c>
      <c r="D29" s="10" t="s">
        <v>14</v>
      </c>
      <c r="E29" s="10" t="s">
        <v>15</v>
      </c>
      <c r="F29" s="11">
        <f t="shared" si="0"/>
        <v>3995.9785384379247</v>
      </c>
      <c r="G29" s="11">
        <f t="shared" si="1"/>
        <v>5975.6214615620756</v>
      </c>
      <c r="H29" s="9"/>
    </row>
    <row r="30" ht="14.25" customHeight="1">
      <c r="A30" s="7">
        <v>45967</v>
      </c>
      <c r="B30" s="8" t="s">
        <v>62</v>
      </c>
      <c r="C30" s="9">
        <v>10849.6</v>
      </c>
      <c r="D30" s="10" t="s">
        <v>14</v>
      </c>
      <c r="E30" s="10" t="s">
        <v>15</v>
      </c>
      <c r="F30" s="11">
        <f t="shared" si="0"/>
        <v>4347.8246972036695</v>
      </c>
      <c r="G30" s="11">
        <f t="shared" si="1"/>
        <v>6501.7753027963308</v>
      </c>
      <c r="H30" s="9"/>
    </row>
    <row r="31" ht="14.25" customHeight="1">
      <c r="A31" s="7">
        <v>45968</v>
      </c>
      <c r="B31" s="8" t="s">
        <v>16</v>
      </c>
      <c r="C31" s="9">
        <v>15998</v>
      </c>
      <c r="D31" s="10" t="s">
        <v>20</v>
      </c>
      <c r="E31" s="10" t="s">
        <v>15</v>
      </c>
      <c r="F31" s="11">
        <f t="shared" si="0"/>
        <v>6410.9736309047612</v>
      </c>
      <c r="G31" s="11">
        <f t="shared" si="1"/>
        <v>9587.0263690952379</v>
      </c>
      <c r="H31" s="9" t="s">
        <v>172</v>
      </c>
    </row>
    <row r="32" ht="14.25" customHeight="1">
      <c r="A32" s="7">
        <v>45968</v>
      </c>
      <c r="B32" s="8" t="s">
        <v>128</v>
      </c>
      <c r="C32" s="9">
        <v>13506.43</v>
      </c>
      <c r="D32" s="10" t="s">
        <v>14</v>
      </c>
      <c r="E32" s="10" t="s">
        <v>15</v>
      </c>
      <c r="F32" s="11">
        <f t="shared" si="0"/>
        <v>5412.5119751007</v>
      </c>
      <c r="G32" s="11">
        <f t="shared" si="1"/>
        <v>8093.9180248993007</v>
      </c>
      <c r="H32" s="9"/>
    </row>
    <row r="33" ht="14.25" customHeight="1">
      <c r="A33" s="7">
        <v>45968</v>
      </c>
      <c r="B33" s="8" t="s">
        <v>123</v>
      </c>
      <c r="C33" s="9">
        <v>7863.79</v>
      </c>
      <c r="D33" s="10" t="s">
        <v>14</v>
      </c>
      <c r="E33" s="10" t="s">
        <v>15</v>
      </c>
      <c r="F33" s="11">
        <f t="shared" si="0"/>
        <v>3151.3033084743438</v>
      </c>
      <c r="G33" s="11">
        <f t="shared" si="1"/>
        <v>4712.4866915256562</v>
      </c>
      <c r="H33" s="9"/>
    </row>
    <row r="34" ht="14.25" customHeight="1">
      <c r="A34" s="7">
        <v>45968</v>
      </c>
      <c r="B34" s="8" t="s">
        <v>16</v>
      </c>
      <c r="C34" s="9">
        <v>84000</v>
      </c>
      <c r="D34" s="10" t="s">
        <v>20</v>
      </c>
      <c r="E34" s="10" t="s">
        <v>15</v>
      </c>
      <c r="F34" s="11">
        <f t="shared" si="0"/>
        <v>33661.8192896612</v>
      </c>
      <c r="G34" s="11">
        <f t="shared" si="1"/>
        <v>50338.1807103388</v>
      </c>
      <c r="H34" s="9" t="s">
        <v>150</v>
      </c>
    </row>
    <row r="35" ht="14.25" customHeight="1">
      <c r="A35" s="7">
        <v>45969</v>
      </c>
      <c r="B35" s="8" t="s">
        <v>122</v>
      </c>
      <c r="C35" s="9">
        <v>18399</v>
      </c>
      <c r="D35" s="10" t="s">
        <v>14</v>
      </c>
      <c r="E35" s="10" t="s">
        <v>15</v>
      </c>
      <c r="F35" s="11">
        <f t="shared" si="0"/>
        <v>7373.1406322675775</v>
      </c>
      <c r="G35" s="11">
        <f t="shared" si="1"/>
        <v>11025.859367732422</v>
      </c>
      <c r="H35" s="9"/>
    </row>
    <row r="36" ht="14.25" customHeight="1">
      <c r="A36" s="7">
        <v>45970</v>
      </c>
      <c r="B36" s="8" t="s">
        <v>61</v>
      </c>
      <c r="C36" s="9">
        <v>10050</v>
      </c>
      <c r="D36" s="10" t="s">
        <v>14</v>
      </c>
      <c r="E36" s="10" t="s">
        <v>15</v>
      </c>
      <c r="F36" s="11">
        <f t="shared" si="0"/>
        <v>4027.3962364416084</v>
      </c>
      <c r="G36" s="11">
        <f t="shared" si="1"/>
        <v>6022.6037635583916</v>
      </c>
      <c r="H36" s="9"/>
    </row>
    <row r="37" ht="14.25" customHeight="1">
      <c r="A37" s="7">
        <v>45969</v>
      </c>
      <c r="B37" s="8" t="s">
        <v>36</v>
      </c>
      <c r="C37" s="9">
        <v>88700</v>
      </c>
      <c r="D37" s="10" t="s">
        <v>20</v>
      </c>
      <c r="E37" s="10" t="s">
        <v>15</v>
      </c>
      <c r="F37" s="11">
        <f t="shared" si="0"/>
        <v>35545.278226106537</v>
      </c>
      <c r="G37" s="11">
        <f t="shared" si="1"/>
        <v>53154.721773893463</v>
      </c>
      <c r="H37" s="9"/>
    </row>
    <row r="38" ht="14.25" customHeight="1">
      <c r="A38" s="7">
        <v>45969</v>
      </c>
      <c r="B38" s="8" t="s">
        <v>66</v>
      </c>
      <c r="C38" s="9">
        <v>40557.95</v>
      </c>
      <c r="D38" s="10" t="s">
        <v>14</v>
      </c>
      <c r="E38" s="10" t="s">
        <v>15</v>
      </c>
      <c r="F38" s="11">
        <f t="shared" si="0"/>
        <v>16253.028376894221</v>
      </c>
      <c r="G38" s="11">
        <f t="shared" si="1"/>
        <v>24304.921623105776</v>
      </c>
      <c r="H38" s="9"/>
    </row>
    <row r="39" ht="14.25" customHeight="1">
      <c r="A39" s="7">
        <v>45972</v>
      </c>
      <c r="B39" s="8" t="s">
        <v>27</v>
      </c>
      <c r="C39" s="9">
        <v>88395.94</v>
      </c>
      <c r="D39" s="10" t="s">
        <v>14</v>
      </c>
      <c r="E39" s="10" t="s">
        <v>15</v>
      </c>
      <c r="F39" s="11">
        <f t="shared" si="0"/>
        <v>35423.430454996836</v>
      </c>
      <c r="G39" s="11">
        <f t="shared" si="1"/>
        <v>52972.509545003166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t="shared" si="0"/>
        <v>0</v>
      </c>
      <c r="G66" s="11">
        <f t="shared" si="1"/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0"/>
        <v>0</v>
      </c>
      <c r="G67" s="11">
        <f t="shared" si="1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0"/>
        <v>0</v>
      </c>
      <c r="G68" s="11">
        <f t="shared" si="1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0"/>
        <v>0</v>
      </c>
      <c r="G69" s="11">
        <f t="shared" si="1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0"/>
        <v>0</v>
      </c>
      <c r="G70" s="11">
        <f t="shared" si="1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0"/>
        <v>0</v>
      </c>
      <c r="G71" s="11">
        <f t="shared" si="1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0"/>
        <v>0</v>
      </c>
      <c r="G72" s="11">
        <f t="shared" si="1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0"/>
        <v>0</v>
      </c>
      <c r="G73" s="11">
        <f t="shared" si="1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0"/>
        <v>0</v>
      </c>
      <c r="G74" s="11">
        <f t="shared" si="1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0"/>
        <v>0</v>
      </c>
      <c r="G75" s="11">
        <f t="shared" si="1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0"/>
        <v>0</v>
      </c>
      <c r="G76" s="11">
        <f t="shared" si="1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0"/>
        <v>0</v>
      </c>
      <c r="G77" s="11">
        <f t="shared" si="1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0"/>
        <v>0</v>
      </c>
      <c r="G78" s="11">
        <f t="shared" si="1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0"/>
        <v>0</v>
      </c>
      <c r="G79" s="11">
        <f t="shared" si="1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0"/>
        <v>0</v>
      </c>
      <c r="G80" s="11">
        <f t="shared" si="1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0"/>
        <v>0</v>
      </c>
      <c r="G81" s="11">
        <f t="shared" si="1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0"/>
        <v>0</v>
      </c>
      <c r="G82" s="11">
        <f t="shared" si="1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0"/>
        <v>0</v>
      </c>
      <c r="G83" s="11">
        <f t="shared" si="1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0"/>
        <v>0</v>
      </c>
      <c r="G84" s="11">
        <f t="shared" si="1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0"/>
        <v>0</v>
      </c>
      <c r="G85" s="11">
        <f t="shared" si="1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0"/>
        <v>0</v>
      </c>
      <c r="G86" s="11">
        <f t="shared" si="1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0"/>
        <v>0</v>
      </c>
      <c r="G87" s="11">
        <f t="shared" si="1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0"/>
        <v>0</v>
      </c>
      <c r="G88" s="11">
        <f t="shared" si="1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0"/>
        <v>0</v>
      </c>
      <c r="G89" s="11">
        <f t="shared" si="1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0"/>
        <v>0</v>
      </c>
      <c r="G90" s="11">
        <f t="shared" si="1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0"/>
        <v>0</v>
      </c>
      <c r="G91" s="11">
        <f t="shared" si="1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0"/>
        <v>0</v>
      </c>
      <c r="G92" s="11">
        <f t="shared" si="1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0"/>
        <v>0</v>
      </c>
      <c r="G93" s="11">
        <f t="shared" si="1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0"/>
        <v>0</v>
      </c>
      <c r="G94" s="11">
        <f t="shared" si="1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0"/>
        <v>0</v>
      </c>
      <c r="G95" s="11">
        <f t="shared" si="1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0"/>
        <v>0</v>
      </c>
      <c r="G96" s="11">
        <f t="shared" si="1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0"/>
        <v>0</v>
      </c>
      <c r="G97" s="11">
        <f t="shared" si="1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0"/>
        <v>0</v>
      </c>
      <c r="G98" s="11">
        <f t="shared" si="1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0"/>
        <v>0</v>
      </c>
      <c r="G99" s="11">
        <f t="shared" si="1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0"/>
        <v>0</v>
      </c>
      <c r="G100" s="11">
        <f t="shared" si="1"/>
        <v>0</v>
      </c>
      <c r="H100" s="9"/>
    </row>
    <row r="101" ht="14.25" customHeight="1">
      <c r="A101" s="20">
        <v>45975.6689180787</v>
      </c>
      <c r="B101" s="0" t="s">
        <v>27</v>
      </c>
      <c r="C101" s="21">
        <v>1234</v>
      </c>
      <c r="D101" s="0" t="s">
        <v>14</v>
      </c>
      <c r="E101" s="0" t="s">
        <v>173</v>
      </c>
      <c r="H101" s="0" t="s">
        <v>174</v>
      </c>
    </row>
    <row r="102" ht="14.25" customHeight="1">
      <c r="A102" s="20">
        <v>45975.6725689931</v>
      </c>
      <c r="B102" s="0" t="s">
        <v>27</v>
      </c>
      <c r="C102" s="21">
        <v>123456</v>
      </c>
      <c r="D102" s="0" t="s">
        <v>14</v>
      </c>
      <c r="E102" s="0" t="s">
        <v>175</v>
      </c>
      <c r="H102" s="0" t="s">
        <v>176</v>
      </c>
    </row>
    <row r="103" ht="14.25" customHeight="1">
      <c r="A103" s="20">
        <v>45975.6744660764</v>
      </c>
      <c r="B103" s="0" t="s">
        <v>36</v>
      </c>
      <c r="C103" s="21">
        <v>11111</v>
      </c>
      <c r="D103" s="0" t="s">
        <v>20</v>
      </c>
      <c r="E103" s="0" t="s">
        <v>175</v>
      </c>
      <c r="H103" s="0" t="s">
        <v>174</v>
      </c>
    </row>
    <row r="104" ht="14.25" customHeight="1">
      <c r="A104" s="20">
        <v>45975.7686561574</v>
      </c>
      <c r="B104" s="0" t="s">
        <v>128</v>
      </c>
      <c r="C104" s="21">
        <v>1</v>
      </c>
      <c r="D104" s="0" t="s">
        <v>14</v>
      </c>
      <c r="E104" s="0" t="s">
        <v>175</v>
      </c>
      <c r="H104" s="0" t="s">
        <v>177</v>
      </c>
    </row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 D4:D10 D12:D20 D22:D50" xr:uid="{00000000-0002-0000-0500-000000000000}">
      <formula1>Quien</formula1>
    </dataValidation>
    <dataValidation type="list" allowBlank="1" showErrorMessage="1" sqref="E2 E4:E10 E12:E20 E22:E50" xr:uid="{00000000-0002-0000-0500-000001000000}">
      <formula1>Proporcional</formula1>
    </dataValidation>
    <dataValidation type="list" allowBlank="1" showErrorMessage="1" sqref="B2 B4:B10 B12:B20 B22:B50" xr:uid="{00000000-0002-0000-0500-000002000000}">
      <formula1>Tipo</formula1>
    </dataValidation>
    <dataValidation type="decimal" allowBlank="1" showErrorMessage="1" sqref="C2 C4:C10 C12:C20 C22:C50" xr:uid="{00000000-0002-0000-0500-000003000000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31"/>
  <dimension ref="A1:N101"/>
  <sheetViews>
    <sheetView zoomScale="85" zoomScaleNormal="85" workbookViewId="0">
      <selection activeCell="C21" sqref="C21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bestFit="1" width="16.3632812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45839</v>
      </c>
      <c r="B2" s="8" t="s">
        <v>16</v>
      </c>
      <c r="C2" s="9">
        <v>50000</v>
      </c>
      <c r="D2" s="10" t="s">
        <v>14</v>
      </c>
      <c r="E2" s="10" t="s">
        <v>15</v>
      </c>
      <c r="F2" s="11">
        <f ref="F2:F100" t="shared" si="0">IF(B2="Consolidación",0,IF(E2="NO",C2*0.5,C2*$K$10))</f>
        <v>20446.639559484091</v>
      </c>
      <c r="G2" s="11">
        <f ref="G2:G100" t="shared" si="1">IF(B2="Consolidación",0,IF(E2="NO",C2*0.5,C2*$K$11))</f>
        <v>29553.360440515909</v>
      </c>
      <c r="H2" s="9" t="s">
        <v>178</v>
      </c>
      <c r="I2" s="11"/>
      <c r="J2" s="12">
        <f>SUM(K2,L2)</f>
        <v>523881.78</v>
      </c>
      <c r="K2" s="12">
        <f>SUMIF(D2:D100,"Andrea",C2:C100)-SUMIFS(C2:C100,B2:B100,"Consolidación",D2:D100,"Juan")</f>
        <v>126744.12</v>
      </c>
      <c r="L2" s="12">
        <f>SUMIF(D2:D100,"Juan",C2:C100)-SUMIFS(C2:C100,B2:B100,"Consolidación",D2:D100,"Andrea")</f>
        <v>397137.66000000003</v>
      </c>
      <c r="M2" s="13">
        <f>SUM(F2:F500)-K2+'Noviembre-25'!M2</f>
        <v>344130.83461469435</v>
      </c>
      <c r="N2" s="13">
        <f>SUM(G2:G500)-L2+'Noviembre-25'!N2</f>
        <v>-344130.83461469342</v>
      </c>
    </row>
    <row r="3" ht="14.25" customHeight="1">
      <c r="A3" s="7">
        <v>45839</v>
      </c>
      <c r="B3" s="8" t="s">
        <v>16</v>
      </c>
      <c r="C3" s="9">
        <v>5854</v>
      </c>
      <c r="D3" s="10" t="s">
        <v>14</v>
      </c>
      <c r="E3" s="10" t="s">
        <v>15</v>
      </c>
      <c r="F3" s="11">
        <f t="shared" si="0"/>
        <v>2393.8925596243976</v>
      </c>
      <c r="G3" s="11">
        <f t="shared" si="1"/>
        <v>3460.1074403756024</v>
      </c>
      <c r="H3" s="9" t="s">
        <v>179</v>
      </c>
      <c r="I3" s="11"/>
    </row>
    <row r="4" ht="14.25" customHeight="1">
      <c r="A4" s="7">
        <v>45870</v>
      </c>
      <c r="B4" s="8" t="s">
        <v>16</v>
      </c>
      <c r="C4" s="9">
        <v>28291.33</v>
      </c>
      <c r="D4" s="10" t="s">
        <v>14</v>
      </c>
      <c r="E4" s="10" t="s">
        <v>15</v>
      </c>
      <c r="F4" s="11">
        <f t="shared" si="0"/>
        <v>11569.252543368382</v>
      </c>
      <c r="G4" s="11">
        <f t="shared" si="1"/>
        <v>16722.077456631618</v>
      </c>
      <c r="H4" s="9" t="s">
        <v>180</v>
      </c>
      <c r="I4" s="11"/>
    </row>
    <row r="5" ht="14.25" customHeight="1">
      <c r="A5" s="7">
        <v>45870</v>
      </c>
      <c r="B5" s="8" t="s">
        <v>16</v>
      </c>
      <c r="C5" s="9">
        <v>7321.33</v>
      </c>
      <c r="D5" s="10" t="s">
        <v>14</v>
      </c>
      <c r="E5" s="10" t="s">
        <v>15</v>
      </c>
      <c r="F5" s="11">
        <f t="shared" si="0"/>
        <v>2993.9319121207532</v>
      </c>
      <c r="G5" s="11">
        <f t="shared" si="1"/>
        <v>4327.3980878792463</v>
      </c>
      <c r="H5" s="9" t="s">
        <v>181</v>
      </c>
      <c r="I5" s="11"/>
    </row>
    <row r="6" ht="14.25" customHeight="1">
      <c r="A6" s="7">
        <v>45870</v>
      </c>
      <c r="B6" s="8" t="s">
        <v>16</v>
      </c>
      <c r="C6" s="9">
        <v>31333</v>
      </c>
      <c r="D6" s="10" t="s">
        <v>20</v>
      </c>
      <c r="E6" s="10" t="s">
        <v>15</v>
      </c>
      <c r="F6" s="11">
        <f t="shared" si="0"/>
        <v>12813.091146346302</v>
      </c>
      <c r="G6" s="11">
        <f t="shared" si="1"/>
        <v>18519.9088536537</v>
      </c>
      <c r="H6" s="9" t="s">
        <v>182</v>
      </c>
      <c r="I6" s="11"/>
    </row>
    <row r="7" ht="14.25" customHeight="1">
      <c r="A7" s="7">
        <v>45870</v>
      </c>
      <c r="B7" s="8" t="s">
        <v>19</v>
      </c>
      <c r="C7" s="9">
        <v>4652</v>
      </c>
      <c r="D7" s="10" t="s">
        <v>20</v>
      </c>
      <c r="E7" s="10" t="s">
        <v>15</v>
      </c>
      <c r="F7" s="11">
        <f t="shared" si="0"/>
        <v>1902.3553446143999</v>
      </c>
      <c r="G7" s="11">
        <f t="shared" si="1"/>
        <v>2749.6446553856</v>
      </c>
      <c r="H7" s="9" t="s">
        <v>183</v>
      </c>
      <c r="I7" s="11"/>
      <c r="J7" s="10" t="s">
        <v>24</v>
      </c>
      <c r="K7" s="14">
        <v>1774992</v>
      </c>
    </row>
    <row r="8" ht="14.25" customHeight="1">
      <c r="A8" s="7">
        <v>45870</v>
      </c>
      <c r="B8" s="8" t="s">
        <v>16</v>
      </c>
      <c r="C8" s="9">
        <v>7667.78</v>
      </c>
      <c r="D8" s="10" t="s">
        <v>20</v>
      </c>
      <c r="E8" s="10" t="s">
        <v>15</v>
      </c>
      <c r="F8" s="11">
        <f t="shared" si="0"/>
        <v>3135.6066776284188</v>
      </c>
      <c r="G8" s="11">
        <f t="shared" si="1"/>
        <v>4532.173322371581</v>
      </c>
      <c r="H8" s="9" t="s">
        <v>183</v>
      </c>
      <c r="I8" s="11"/>
      <c r="J8" s="10" t="s">
        <v>25</v>
      </c>
      <c r="K8" s="14">
        <v>2565555</v>
      </c>
    </row>
    <row r="9" ht="14.25" customHeight="1">
      <c r="A9" s="7">
        <v>45870</v>
      </c>
      <c r="B9" s="8" t="s">
        <v>16</v>
      </c>
      <c r="C9" s="9">
        <v>20216.67</v>
      </c>
      <c r="D9" s="10" t="s">
        <v>20</v>
      </c>
      <c r="E9" s="10" t="s">
        <v>15</v>
      </c>
      <c r="F9" s="11">
        <f t="shared" si="0"/>
        <v>8267.2592916607045</v>
      </c>
      <c r="G9" s="11">
        <f t="shared" si="1"/>
        <v>11949.410708339294</v>
      </c>
      <c r="H9" s="9" t="s">
        <v>184</v>
      </c>
      <c r="I9" s="11"/>
      <c r="J9" s="10" t="s">
        <v>8</v>
      </c>
      <c r="K9" s="14">
        <f>SUM(K7:K8)</f>
        <v>4340547</v>
      </c>
    </row>
    <row r="10" ht="14.25" customHeight="1">
      <c r="A10" s="7">
        <v>45870</v>
      </c>
      <c r="B10" s="8" t="s">
        <v>16</v>
      </c>
      <c r="C10" s="9">
        <v>25213</v>
      </c>
      <c r="D10" s="10" t="s">
        <v>20</v>
      </c>
      <c r="E10" s="10" t="s">
        <v>15</v>
      </c>
      <c r="F10" s="11">
        <f t="shared" si="0"/>
        <v>10310.422464265448</v>
      </c>
      <c r="G10" s="11">
        <f t="shared" si="1"/>
        <v>14902.577535734552</v>
      </c>
      <c r="H10" s="9" t="s">
        <v>185</v>
      </c>
      <c r="I10" s="11"/>
      <c r="J10" s="10" t="s">
        <v>28</v>
      </c>
      <c r="K10" s="15">
        <f>K7/K9</f>
        <v>0.40893279118968184</v>
      </c>
    </row>
    <row r="11" ht="14.25" customHeight="1">
      <c r="A11" s="7">
        <v>45892</v>
      </c>
      <c r="B11" s="8" t="s">
        <v>16</v>
      </c>
      <c r="C11" s="9">
        <v>5617</v>
      </c>
      <c r="D11" s="10" t="s">
        <v>20</v>
      </c>
      <c r="E11" s="10" t="s">
        <v>15</v>
      </c>
      <c r="F11" s="11">
        <f t="shared" si="0"/>
        <v>2296.9754881124427</v>
      </c>
      <c r="G11" s="11">
        <f t="shared" si="1"/>
        <v>3320.0245118875573</v>
      </c>
      <c r="H11" s="9" t="s">
        <v>183</v>
      </c>
      <c r="I11" s="11"/>
      <c r="J11" s="10" t="s">
        <v>30</v>
      </c>
      <c r="K11" s="15">
        <f>K8/K9</f>
        <v>0.59106720881031816</v>
      </c>
    </row>
    <row r="12" ht="14.25" customHeight="1">
      <c r="A12" s="7">
        <v>45931</v>
      </c>
      <c r="B12" s="8" t="s">
        <v>16</v>
      </c>
      <c r="C12" s="9">
        <v>11666.33</v>
      </c>
      <c r="D12" s="10" t="s">
        <v>14</v>
      </c>
      <c r="E12" s="10" t="s">
        <v>15</v>
      </c>
      <c r="F12" s="11">
        <f t="shared" si="0"/>
        <v>4770.7448898399207</v>
      </c>
      <c r="G12" s="11">
        <f t="shared" si="1"/>
        <v>6895.5851101600792</v>
      </c>
      <c r="H12" s="9" t="s">
        <v>186</v>
      </c>
      <c r="I12" s="11"/>
    </row>
    <row r="13" ht="14.25" customHeight="1">
      <c r="A13" s="7">
        <v>45931</v>
      </c>
      <c r="B13" s="8" t="s">
        <v>68</v>
      </c>
      <c r="C13" s="9">
        <v>47075</v>
      </c>
      <c r="D13" s="10" t="s">
        <v>14</v>
      </c>
      <c r="E13" s="10" t="s">
        <v>15</v>
      </c>
      <c r="F13" s="11">
        <f t="shared" si="0"/>
        <v>19250.511145254273</v>
      </c>
      <c r="G13" s="11">
        <f t="shared" si="1"/>
        <v>27824.488854745727</v>
      </c>
      <c r="H13" s="9" t="s">
        <v>187</v>
      </c>
      <c r="I13" s="11"/>
    </row>
    <row r="14" ht="14.25" customHeight="1">
      <c r="A14" s="7">
        <v>45931</v>
      </c>
      <c r="B14" s="8" t="s">
        <v>37</v>
      </c>
      <c r="C14" s="9">
        <v>30450</v>
      </c>
      <c r="D14" s="10" t="s">
        <v>14</v>
      </c>
      <c r="E14" s="10" t="s">
        <v>15</v>
      </c>
      <c r="F14" s="11">
        <f t="shared" si="0"/>
        <v>12452.003491725813</v>
      </c>
      <c r="G14" s="11">
        <f t="shared" si="1"/>
        <v>17997.996508274187</v>
      </c>
      <c r="H14" s="9" t="s">
        <v>188</v>
      </c>
      <c r="I14" s="11"/>
    </row>
    <row r="15" ht="14.25" customHeight="1">
      <c r="A15" s="7">
        <v>45931</v>
      </c>
      <c r="B15" s="8" t="s">
        <v>16</v>
      </c>
      <c r="C15" s="9">
        <v>8667</v>
      </c>
      <c r="D15" s="10" t="s">
        <v>14</v>
      </c>
      <c r="E15" s="10" t="s">
        <v>15</v>
      </c>
      <c r="F15" s="11">
        <f t="shared" si="0"/>
        <v>3544.2205012409727</v>
      </c>
      <c r="G15" s="11">
        <f t="shared" si="1"/>
        <v>5122.7794987590278</v>
      </c>
      <c r="H15" s="9" t="s">
        <v>189</v>
      </c>
      <c r="I15" s="11"/>
      <c r="K15" s="16"/>
    </row>
    <row r="16" ht="14.25" customHeight="1">
      <c r="A16" s="7">
        <v>45931</v>
      </c>
      <c r="B16" s="8" t="s">
        <v>68</v>
      </c>
      <c r="C16" s="9">
        <v>17780</v>
      </c>
      <c r="D16" s="10" t="s">
        <v>14</v>
      </c>
      <c r="E16" s="10" t="s">
        <v>15</v>
      </c>
      <c r="F16" s="11">
        <f t="shared" si="0"/>
        <v>7270.8250273525427</v>
      </c>
      <c r="G16" s="11">
        <f t="shared" si="1"/>
        <v>10509.174972647457</v>
      </c>
      <c r="H16" s="9" t="s">
        <v>190</v>
      </c>
      <c r="I16" s="11"/>
    </row>
    <row r="17" ht="14.25" customHeight="1">
      <c r="A17" s="7">
        <v>45962</v>
      </c>
      <c r="B17" s="8" t="s">
        <v>68</v>
      </c>
      <c r="C17" s="9">
        <v>18333.33</v>
      </c>
      <c r="D17" s="10" t="s">
        <v>14</v>
      </c>
      <c r="E17" s="10" t="s">
        <v>15</v>
      </c>
      <c r="F17" s="11">
        <f t="shared" si="0"/>
        <v>7497.0998087015305</v>
      </c>
      <c r="G17" s="11">
        <f t="shared" si="1"/>
        <v>10836.230191298471</v>
      </c>
      <c r="H17" s="9" t="s">
        <v>191</v>
      </c>
      <c r="I17" s="11"/>
    </row>
    <row r="18" ht="14.25" customHeight="1">
      <c r="A18" s="7">
        <v>45962</v>
      </c>
      <c r="B18" s="8" t="s">
        <v>16</v>
      </c>
      <c r="C18" s="9">
        <v>16046.67</v>
      </c>
      <c r="D18" s="10" t="s">
        <v>20</v>
      </c>
      <c r="E18" s="10" t="s">
        <v>15</v>
      </c>
      <c r="F18" s="11">
        <f t="shared" si="0"/>
        <v>6562.0095523997315</v>
      </c>
      <c r="G18" s="11">
        <f t="shared" si="1"/>
        <v>9484.6604476002685</v>
      </c>
      <c r="H18" s="9" t="s">
        <v>192</v>
      </c>
      <c r="I18" s="11"/>
    </row>
    <row r="19" ht="14.25" customHeight="1">
      <c r="A19" s="7">
        <v>45962</v>
      </c>
      <c r="B19" s="8" t="s">
        <v>16</v>
      </c>
      <c r="C19" s="9">
        <v>151833.34</v>
      </c>
      <c r="D19" s="10" t="s">
        <v>14</v>
      </c>
      <c r="E19" s="10" t="s">
        <v>15</v>
      </c>
      <c r="F19" s="11">
        <f t="shared" si="0"/>
        <v>62089.631521851967</v>
      </c>
      <c r="G19" s="11">
        <f t="shared" si="1"/>
        <v>89743.708478148037</v>
      </c>
      <c r="H19" s="9" t="s">
        <v>193</v>
      </c>
      <c r="I19" s="11"/>
    </row>
    <row r="20" ht="14.25" customHeight="1">
      <c r="A20" s="7">
        <v>45955</v>
      </c>
      <c r="B20" s="8" t="s">
        <v>68</v>
      </c>
      <c r="C20" s="9">
        <v>19866</v>
      </c>
      <c r="D20" s="10" t="s">
        <v>14</v>
      </c>
      <c r="E20" s="10" t="s">
        <v>15</v>
      </c>
      <c r="F20" s="11">
        <f t="shared" si="0"/>
        <v>8123.85882977422</v>
      </c>
      <c r="G20" s="11">
        <f t="shared" si="1"/>
        <v>11742.141170225781</v>
      </c>
      <c r="H20" s="9" t="s">
        <v>194</v>
      </c>
      <c r="I20" s="11"/>
    </row>
    <row r="21" ht="14.25" customHeight="1">
      <c r="A21" s="7">
        <v>45968</v>
      </c>
      <c r="B21" s="8" t="s">
        <v>16</v>
      </c>
      <c r="C21" s="9">
        <v>15998</v>
      </c>
      <c r="D21" s="10" t="s">
        <v>20</v>
      </c>
      <c r="E21" s="10" t="s">
        <v>15</v>
      </c>
      <c r="F21" s="11">
        <f t="shared" si="0"/>
        <v>6542.10679345253</v>
      </c>
      <c r="G21" s="11">
        <f t="shared" si="1"/>
        <v>9455.89320654747</v>
      </c>
      <c r="H21" s="9" t="s">
        <v>195</v>
      </c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t="shared" si="0"/>
        <v>0</v>
      </c>
      <c r="G66" s="11">
        <f t="shared" si="1"/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0"/>
        <v>0</v>
      </c>
      <c r="G67" s="11">
        <f t="shared" si="1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0"/>
        <v>0</v>
      </c>
      <c r="G68" s="11">
        <f t="shared" si="1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0"/>
        <v>0</v>
      </c>
      <c r="G69" s="11">
        <f t="shared" si="1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0"/>
        <v>0</v>
      </c>
      <c r="G70" s="11">
        <f t="shared" si="1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0"/>
        <v>0</v>
      </c>
      <c r="G71" s="11">
        <f t="shared" si="1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0"/>
        <v>0</v>
      </c>
      <c r="G72" s="11">
        <f t="shared" si="1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0"/>
        <v>0</v>
      </c>
      <c r="G73" s="11">
        <f t="shared" si="1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0"/>
        <v>0</v>
      </c>
      <c r="G74" s="11">
        <f t="shared" si="1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0"/>
        <v>0</v>
      </c>
      <c r="G75" s="11">
        <f t="shared" si="1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0"/>
        <v>0</v>
      </c>
      <c r="G76" s="11">
        <f t="shared" si="1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0"/>
        <v>0</v>
      </c>
      <c r="G77" s="11">
        <f t="shared" si="1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0"/>
        <v>0</v>
      </c>
      <c r="G78" s="11">
        <f t="shared" si="1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0"/>
        <v>0</v>
      </c>
      <c r="G79" s="11">
        <f t="shared" si="1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0"/>
        <v>0</v>
      </c>
      <c r="G80" s="11">
        <f t="shared" si="1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0"/>
        <v>0</v>
      </c>
      <c r="G81" s="11">
        <f t="shared" si="1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0"/>
        <v>0</v>
      </c>
      <c r="G82" s="11">
        <f t="shared" si="1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0"/>
        <v>0</v>
      </c>
      <c r="G83" s="11">
        <f t="shared" si="1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0"/>
        <v>0</v>
      </c>
      <c r="G84" s="11">
        <f t="shared" si="1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0"/>
        <v>0</v>
      </c>
      <c r="G85" s="11">
        <f t="shared" si="1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0"/>
        <v>0</v>
      </c>
      <c r="G86" s="11">
        <f t="shared" si="1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0"/>
        <v>0</v>
      </c>
      <c r="G87" s="11">
        <f t="shared" si="1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0"/>
        <v>0</v>
      </c>
      <c r="G88" s="11">
        <f t="shared" si="1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0"/>
        <v>0</v>
      </c>
      <c r="G89" s="11">
        <f t="shared" si="1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0"/>
        <v>0</v>
      </c>
      <c r="G90" s="11">
        <f t="shared" si="1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0"/>
        <v>0</v>
      </c>
      <c r="G91" s="11">
        <f t="shared" si="1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0"/>
        <v>0</v>
      </c>
      <c r="G92" s="11">
        <f t="shared" si="1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0"/>
        <v>0</v>
      </c>
      <c r="G93" s="11">
        <f t="shared" si="1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0"/>
        <v>0</v>
      </c>
      <c r="G94" s="11">
        <f t="shared" si="1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0"/>
        <v>0</v>
      </c>
      <c r="G95" s="11">
        <f t="shared" si="1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0"/>
        <v>0</v>
      </c>
      <c r="G96" s="11">
        <f t="shared" si="1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0"/>
        <v>0</v>
      </c>
      <c r="G97" s="11">
        <f t="shared" si="1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0"/>
        <v>0</v>
      </c>
      <c r="G98" s="11">
        <f t="shared" si="1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0"/>
        <v>0</v>
      </c>
      <c r="G99" s="11">
        <f t="shared" si="1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0"/>
        <v>0</v>
      </c>
      <c r="G100" s="11">
        <f t="shared" si="1"/>
        <v>0</v>
      </c>
      <c r="H100" s="9"/>
    </row>
    <row r="101" ht="14.25" customHeight="1">
      <c r="A101" s="20">
        <v>46005.7686561574</v>
      </c>
      <c r="B101" s="0" t="s">
        <v>128</v>
      </c>
      <c r="C101" s="21">
        <v>1</v>
      </c>
      <c r="D101" s="0" t="s">
        <v>14</v>
      </c>
      <c r="E101" s="0" t="s">
        <v>175</v>
      </c>
      <c r="H101" s="0" t="s">
        <v>196</v>
      </c>
    </row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 D4:D10 D12:D19 D21:D50" xr:uid="{00000000-0002-0000-0600-000000000000}">
      <formula1>Quien</formula1>
    </dataValidation>
    <dataValidation type="list" allowBlank="1" showErrorMessage="1" sqref="E2 E4:E10 E12:E19 E21:E50" xr:uid="{00000000-0002-0000-0600-000001000000}">
      <formula1>Proporcional</formula1>
    </dataValidation>
    <dataValidation type="list" allowBlank="1" showErrorMessage="1" sqref="B2 B4:B10 B12:B19 B21:B50" xr:uid="{00000000-0002-0000-0600-000002000000}">
      <formula1>Tipo</formula1>
    </dataValidation>
    <dataValidation type="decimal" allowBlank="1" showErrorMessage="1" sqref="C2 C4:C10 C12:C19 C21:C50" xr:uid="{00000000-0002-0000-0600-000003000000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484C-2AE9-4543-996C-6615AFD0A56D}">
  <sheetPr codeName="Hoja132"/>
  <dimension ref="A1:N101"/>
  <sheetViews>
    <sheetView zoomScale="85" zoomScaleNormal="85" workbookViewId="0">
      <selection activeCell="C14" sqref="C14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45870</v>
      </c>
      <c r="B2" s="8" t="s">
        <v>16</v>
      </c>
      <c r="C2" s="9">
        <v>28291.33</v>
      </c>
      <c r="D2" s="10" t="s">
        <v>14</v>
      </c>
      <c r="E2" s="10" t="s">
        <v>15</v>
      </c>
      <c r="F2" s="11">
        <f ref="F2:F100" t="shared" si="0">IF(B2="Consolidación",0,IF(E2="NO",C2*0.5,C2*$K$10))</f>
        <v>11569.252543368382</v>
      </c>
      <c r="G2" s="11">
        <f ref="G2:G100" t="shared" si="1">IF(B2="Consolidación",0,IF(E2="NO",C2*0.5,C2*$K$11))</f>
        <v>16722.077456631618</v>
      </c>
      <c r="H2" s="9" t="s">
        <v>180</v>
      </c>
      <c r="I2" s="11"/>
      <c r="J2" s="12">
        <f>SUM(K2,L2)</f>
        <v>352389.45</v>
      </c>
      <c r="K2" s="12">
        <f>SUMIF(D2:D100,"Andrea",C2:C100)-SUMIFS(C2:C100,B2:B100,"Consolidación",D2:D100,"Juan")</f>
        <v>126744.12</v>
      </c>
      <c r="L2" s="12">
        <f>SUMIF(D2:D100,"Juan",C2:C100)-SUMIFS(C2:C100,B2:B100,"Consolidación",D2:D100,"Andrea")</f>
        <v>225645.33000000002</v>
      </c>
      <c r="M2" s="13">
        <f>SUM(F2:F500)-K2+'Diciembre-25'!M2</f>
        <v>361490.31598899118</v>
      </c>
      <c r="N2" s="13">
        <f>SUM(G2:G500)-L2+'Diciembre-25'!N2</f>
        <v>-361490.31598899025</v>
      </c>
    </row>
    <row r="3" ht="14.25" customHeight="1">
      <c r="A3" s="7">
        <v>45870</v>
      </c>
      <c r="B3" s="8" t="s">
        <v>16</v>
      </c>
      <c r="C3" s="9">
        <v>7321.33</v>
      </c>
      <c r="D3" s="10" t="s">
        <v>14</v>
      </c>
      <c r="E3" s="10" t="s">
        <v>15</v>
      </c>
      <c r="F3" s="11">
        <f t="shared" si="0"/>
        <v>2993.9319121207532</v>
      </c>
      <c r="G3" s="11">
        <f t="shared" si="1"/>
        <v>4327.3980878792463</v>
      </c>
      <c r="H3" s="9" t="s">
        <v>197</v>
      </c>
      <c r="I3" s="11"/>
    </row>
    <row r="4" ht="14.25" customHeight="1">
      <c r="A4" s="7">
        <v>45870</v>
      </c>
      <c r="B4" s="8" t="s">
        <v>16</v>
      </c>
      <c r="C4" s="9">
        <v>31333</v>
      </c>
      <c r="D4" s="10" t="s">
        <v>20</v>
      </c>
      <c r="E4" s="10" t="s">
        <v>15</v>
      </c>
      <c r="F4" s="11">
        <f t="shared" si="0"/>
        <v>12813.091146346302</v>
      </c>
      <c r="G4" s="11">
        <f t="shared" si="1"/>
        <v>18519.9088536537</v>
      </c>
      <c r="H4" s="9" t="s">
        <v>198</v>
      </c>
      <c r="I4" s="11"/>
    </row>
    <row r="5" ht="14.25" customHeight="1">
      <c r="A5" s="7">
        <v>45870</v>
      </c>
      <c r="B5" s="8" t="s">
        <v>19</v>
      </c>
      <c r="C5" s="9">
        <v>4652</v>
      </c>
      <c r="D5" s="10" t="s">
        <v>20</v>
      </c>
      <c r="E5" s="10" t="s">
        <v>15</v>
      </c>
      <c r="F5" s="11">
        <f t="shared" si="0"/>
        <v>1902.3553446143999</v>
      </c>
      <c r="G5" s="11">
        <f t="shared" si="1"/>
        <v>2749.6446553856</v>
      </c>
      <c r="H5" s="9" t="s">
        <v>199</v>
      </c>
      <c r="I5" s="11"/>
    </row>
    <row r="6" ht="14.25" customHeight="1">
      <c r="A6" s="7">
        <v>45870</v>
      </c>
      <c r="B6" s="8" t="s">
        <v>16</v>
      </c>
      <c r="C6" s="9">
        <v>7667.78</v>
      </c>
      <c r="D6" s="10" t="s">
        <v>20</v>
      </c>
      <c r="E6" s="10" t="s">
        <v>15</v>
      </c>
      <c r="F6" s="11">
        <f t="shared" si="0"/>
        <v>3135.6066776284188</v>
      </c>
      <c r="G6" s="11">
        <f t="shared" si="1"/>
        <v>4532.173322371581</v>
      </c>
      <c r="H6" s="9" t="s">
        <v>199</v>
      </c>
      <c r="I6" s="11"/>
    </row>
    <row r="7" ht="14.25" customHeight="1">
      <c r="A7" s="7">
        <v>45870</v>
      </c>
      <c r="B7" s="8" t="s">
        <v>16</v>
      </c>
      <c r="C7" s="9">
        <v>20216.67</v>
      </c>
      <c r="D7" s="10" t="s">
        <v>20</v>
      </c>
      <c r="E7" s="10" t="s">
        <v>15</v>
      </c>
      <c r="F7" s="11">
        <f t="shared" si="0"/>
        <v>8267.2592916607045</v>
      </c>
      <c r="G7" s="11">
        <f t="shared" si="1"/>
        <v>11949.410708339294</v>
      </c>
      <c r="H7" s="9" t="s">
        <v>200</v>
      </c>
      <c r="I7" s="11"/>
      <c r="J7" s="10" t="s">
        <v>24</v>
      </c>
      <c r="K7" s="14">
        <v>1774992</v>
      </c>
    </row>
    <row r="8" ht="14.25" customHeight="1">
      <c r="A8" s="7">
        <v>45870</v>
      </c>
      <c r="B8" s="8" t="s">
        <v>16</v>
      </c>
      <c r="C8" s="9">
        <v>25213</v>
      </c>
      <c r="D8" s="10" t="s">
        <v>20</v>
      </c>
      <c r="E8" s="10" t="s">
        <v>15</v>
      </c>
      <c r="F8" s="11">
        <f t="shared" si="0"/>
        <v>10310.422464265448</v>
      </c>
      <c r="G8" s="11">
        <f t="shared" si="1"/>
        <v>14902.577535734552</v>
      </c>
      <c r="H8" s="9" t="s">
        <v>201</v>
      </c>
      <c r="I8" s="11"/>
      <c r="J8" s="10" t="s">
        <v>25</v>
      </c>
      <c r="K8" s="14">
        <v>2565555</v>
      </c>
    </row>
    <row r="9" ht="14.25" customHeight="1">
      <c r="A9" s="7">
        <v>45892</v>
      </c>
      <c r="B9" s="8" t="s">
        <v>16</v>
      </c>
      <c r="C9" s="9">
        <v>5617</v>
      </c>
      <c r="D9" s="10" t="s">
        <v>20</v>
      </c>
      <c r="E9" s="10" t="s">
        <v>15</v>
      </c>
      <c r="F9" s="11">
        <f t="shared" si="0"/>
        <v>2296.9754881124427</v>
      </c>
      <c r="G9" s="11">
        <f t="shared" si="1"/>
        <v>3320.0245118875573</v>
      </c>
      <c r="H9" s="9" t="s">
        <v>199</v>
      </c>
      <c r="I9" s="11"/>
      <c r="J9" s="10" t="s">
        <v>8</v>
      </c>
      <c r="K9" s="14">
        <f>SUM(K7:K8)</f>
        <v>4340547</v>
      </c>
    </row>
    <row r="10" ht="14.25" customHeight="1">
      <c r="A10" s="7">
        <v>45962</v>
      </c>
      <c r="B10" s="8" t="s">
        <v>68</v>
      </c>
      <c r="C10" s="9">
        <v>18333.33</v>
      </c>
      <c r="D10" s="10" t="s">
        <v>14</v>
      </c>
      <c r="E10" s="10" t="s">
        <v>15</v>
      </c>
      <c r="F10" s="11">
        <f t="shared" si="0"/>
        <v>7497.0998087015305</v>
      </c>
      <c r="G10" s="11">
        <f t="shared" si="1"/>
        <v>10836.230191298471</v>
      </c>
      <c r="H10" s="9" t="s">
        <v>202</v>
      </c>
      <c r="I10" s="11"/>
      <c r="J10" s="10" t="s">
        <v>28</v>
      </c>
      <c r="K10" s="15">
        <f>K7/K9</f>
        <v>0.40893279118968184</v>
      </c>
    </row>
    <row r="11" ht="14.25" customHeight="1">
      <c r="A11" s="7">
        <v>45962</v>
      </c>
      <c r="B11" s="8" t="s">
        <v>16</v>
      </c>
      <c r="C11" s="9">
        <v>16046.67</v>
      </c>
      <c r="D11" s="10" t="s">
        <v>20</v>
      </c>
      <c r="E11" s="10" t="s">
        <v>15</v>
      </c>
      <c r="F11" s="11">
        <f t="shared" si="0"/>
        <v>6562.0095523997315</v>
      </c>
      <c r="G11" s="11">
        <f t="shared" si="1"/>
        <v>9484.6604476002685</v>
      </c>
      <c r="H11" s="9" t="s">
        <v>203</v>
      </c>
      <c r="I11" s="11"/>
      <c r="J11" s="10" t="s">
        <v>30</v>
      </c>
      <c r="K11" s="15">
        <f>K8/K9</f>
        <v>0.59106720881031816</v>
      </c>
    </row>
    <row r="12" ht="14.25" customHeight="1">
      <c r="A12" s="7">
        <v>45962</v>
      </c>
      <c r="B12" s="8" t="s">
        <v>16</v>
      </c>
      <c r="C12" s="9">
        <v>151833.34</v>
      </c>
      <c r="D12" s="10" t="s">
        <v>14</v>
      </c>
      <c r="E12" s="10" t="s">
        <v>15</v>
      </c>
      <c r="F12" s="11">
        <f t="shared" si="0"/>
        <v>62089.631521851967</v>
      </c>
      <c r="G12" s="11">
        <f t="shared" si="1"/>
        <v>89743.708478148037</v>
      </c>
      <c r="H12" s="9" t="s">
        <v>204</v>
      </c>
      <c r="I12" s="11"/>
    </row>
    <row r="13" ht="14.25" customHeight="1">
      <c r="A13" s="7">
        <v>45955</v>
      </c>
      <c r="B13" s="8" t="s">
        <v>68</v>
      </c>
      <c r="C13" s="9">
        <v>19866</v>
      </c>
      <c r="D13" s="10" t="s">
        <v>14</v>
      </c>
      <c r="E13" s="10" t="s">
        <v>15</v>
      </c>
      <c r="F13" s="11">
        <f t="shared" si="0"/>
        <v>8123.85882977422</v>
      </c>
      <c r="G13" s="11">
        <f t="shared" si="1"/>
        <v>11742.141170225781</v>
      </c>
      <c r="H13" s="9" t="s">
        <v>205</v>
      </c>
      <c r="I13" s="11"/>
    </row>
    <row r="14" ht="14.25" customHeight="1">
      <c r="A14" s="7">
        <v>45968</v>
      </c>
      <c r="B14" s="8" t="s">
        <v>16</v>
      </c>
      <c r="C14" s="9">
        <v>15998</v>
      </c>
      <c r="D14" s="10" t="s">
        <v>20</v>
      </c>
      <c r="E14" s="10" t="s">
        <v>15</v>
      </c>
      <c r="F14" s="11">
        <f t="shared" si="0"/>
        <v>6542.10679345253</v>
      </c>
      <c r="G14" s="11">
        <f t="shared" si="1"/>
        <v>9455.89320654747</v>
      </c>
      <c r="H14" s="9" t="s">
        <v>206</v>
      </c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t="shared" si="0"/>
        <v>0</v>
      </c>
      <c r="G66" s="11">
        <f t="shared" si="1"/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0"/>
        <v>0</v>
      </c>
      <c r="G67" s="11">
        <f t="shared" si="1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0"/>
        <v>0</v>
      </c>
      <c r="G68" s="11">
        <f t="shared" si="1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0"/>
        <v>0</v>
      </c>
      <c r="G69" s="11">
        <f t="shared" si="1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0"/>
        <v>0</v>
      </c>
      <c r="G70" s="11">
        <f t="shared" si="1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0"/>
        <v>0</v>
      </c>
      <c r="G71" s="11">
        <f t="shared" si="1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0"/>
        <v>0</v>
      </c>
      <c r="G72" s="11">
        <f t="shared" si="1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0"/>
        <v>0</v>
      </c>
      <c r="G73" s="11">
        <f t="shared" si="1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0"/>
        <v>0</v>
      </c>
      <c r="G74" s="11">
        <f t="shared" si="1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0"/>
        <v>0</v>
      </c>
      <c r="G75" s="11">
        <f t="shared" si="1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0"/>
        <v>0</v>
      </c>
      <c r="G76" s="11">
        <f t="shared" si="1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0"/>
        <v>0</v>
      </c>
      <c r="G77" s="11">
        <f t="shared" si="1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0"/>
        <v>0</v>
      </c>
      <c r="G78" s="11">
        <f t="shared" si="1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0"/>
        <v>0</v>
      </c>
      <c r="G79" s="11">
        <f t="shared" si="1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0"/>
        <v>0</v>
      </c>
      <c r="G80" s="11">
        <f t="shared" si="1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0"/>
        <v>0</v>
      </c>
      <c r="G81" s="11">
        <f t="shared" si="1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0"/>
        <v>0</v>
      </c>
      <c r="G82" s="11">
        <f t="shared" si="1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0"/>
        <v>0</v>
      </c>
      <c r="G83" s="11">
        <f t="shared" si="1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0"/>
        <v>0</v>
      </c>
      <c r="G84" s="11">
        <f t="shared" si="1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0"/>
        <v>0</v>
      </c>
      <c r="G85" s="11">
        <f t="shared" si="1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0"/>
        <v>0</v>
      </c>
      <c r="G86" s="11">
        <f t="shared" si="1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0"/>
        <v>0</v>
      </c>
      <c r="G87" s="11">
        <f t="shared" si="1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0"/>
        <v>0</v>
      </c>
      <c r="G88" s="11">
        <f t="shared" si="1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0"/>
        <v>0</v>
      </c>
      <c r="G89" s="11">
        <f t="shared" si="1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0"/>
        <v>0</v>
      </c>
      <c r="G90" s="11">
        <f t="shared" si="1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0"/>
        <v>0</v>
      </c>
      <c r="G91" s="11">
        <f t="shared" si="1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0"/>
        <v>0</v>
      </c>
      <c r="G92" s="11">
        <f t="shared" si="1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0"/>
        <v>0</v>
      </c>
      <c r="G93" s="11">
        <f t="shared" si="1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0"/>
        <v>0</v>
      </c>
      <c r="G94" s="11">
        <f t="shared" si="1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0"/>
        <v>0</v>
      </c>
      <c r="G95" s="11">
        <f t="shared" si="1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0"/>
        <v>0</v>
      </c>
      <c r="G96" s="11">
        <f t="shared" si="1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0"/>
        <v>0</v>
      </c>
      <c r="G97" s="11">
        <f t="shared" si="1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0"/>
        <v>0</v>
      </c>
      <c r="G98" s="11">
        <f t="shared" si="1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0"/>
        <v>0</v>
      </c>
      <c r="G99" s="11">
        <f t="shared" si="1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0"/>
        <v>0</v>
      </c>
      <c r="G100" s="11">
        <f t="shared" si="1"/>
        <v>0</v>
      </c>
      <c r="H100" s="9"/>
    </row>
    <row r="101" ht="14.25" customHeight="1">
      <c r="A101" s="20">
        <v>46036.7686561574</v>
      </c>
      <c r="B101" s="0" t="s">
        <v>128</v>
      </c>
      <c r="C101" s="21">
        <v>1</v>
      </c>
      <c r="D101" s="0" t="s">
        <v>14</v>
      </c>
      <c r="E101" s="0" t="s">
        <v>175</v>
      </c>
      <c r="H101" s="0" t="s">
        <v>207</v>
      </c>
    </row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2:C8 C10:C12 C14:C50" xr:uid="{4CDDE182-F2A8-4102-900B-6A0D8EBCE887}">
      <formula1>0</formula1>
      <formula2>9999999</formula2>
    </dataValidation>
    <dataValidation type="list" allowBlank="1" showErrorMessage="1" sqref="B2:B8 B10:B12 B14:B50" xr:uid="{F91248F8-9CDF-48A6-94EA-7E6A350BA934}">
      <formula1>Tipo</formula1>
    </dataValidation>
    <dataValidation type="list" allowBlank="1" showErrorMessage="1" sqref="E2:E8 E10:E12 E14:E50" xr:uid="{12005EB5-234C-4866-858F-6F3A68EA1C59}">
      <formula1>Proporcional</formula1>
    </dataValidation>
    <dataValidation type="list" allowBlank="1" showErrorMessage="1" sqref="D2:D8 D10:D12 D14:D50" xr:uid="{CC9683E5-8798-4DDA-BBB9-5A350FD07496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06659-5C7A-4CF0-B744-FD771EA6564A}">
  <sheetPr codeName="Hoja133"/>
  <dimension ref="A1:N101"/>
  <sheetViews>
    <sheetView zoomScale="85" zoomScaleNormal="85" workbookViewId="0">
      <selection activeCell="D9" sqref="D9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45870</v>
      </c>
      <c r="B2" s="8" t="s">
        <v>19</v>
      </c>
      <c r="C2" s="9">
        <v>4652</v>
      </c>
      <c r="D2" s="10" t="s">
        <v>20</v>
      </c>
      <c r="E2" s="10" t="s">
        <v>15</v>
      </c>
      <c r="F2" s="11">
        <f ref="F2:F9" t="shared" si="0">IF(B2="Consolidación",0,IF(E2="NO",C2*0.5,C2*$K$10))</f>
        <v>1902.3553446143999</v>
      </c>
      <c r="G2" s="11">
        <f ref="G2:G9" t="shared" si="1">IF(B2="Consolidación",0,IF(E2="NO",C2*0.5,C2*$K$11))</f>
        <v>2749.6446553856</v>
      </c>
      <c r="H2" s="9" t="s">
        <v>208</v>
      </c>
      <c r="I2" s="11"/>
      <c r="J2" s="12">
        <f>SUM(K2,L2)</f>
        <v>246893.78999999998</v>
      </c>
      <c r="K2" s="12">
        <f>SUMIF(D2:D100,"Andrea",C2:C100)-SUMIFS(C2:C100,B2:B100,"Consolidación",D2:D100,"Juan")</f>
        <v>75194.45</v>
      </c>
      <c r="L2" s="12">
        <f>SUMIF(D2:D100,"Juan",C2:C100)-SUMIFS(C2:C100,B2:B100,"Consolidación",D2:D100,"Andrea")</f>
        <v>171699.34</v>
      </c>
      <c r="M2" s="13">
        <f>SUM(F2:F500)-K2+'Enero-26'!M2</f>
        <v>387258.83266109036</v>
      </c>
      <c r="N2" s="13">
        <f>SUM(G2:G500)-L2+'Enero-26'!N2</f>
        <v>-387258.83266108937</v>
      </c>
    </row>
    <row r="3" ht="14.25" customHeight="1">
      <c r="A3" s="7">
        <v>45870</v>
      </c>
      <c r="B3" s="8" t="s">
        <v>16</v>
      </c>
      <c r="C3" s="9">
        <v>7667.78</v>
      </c>
      <c r="D3" s="10" t="s">
        <v>20</v>
      </c>
      <c r="E3" s="10" t="s">
        <v>15</v>
      </c>
      <c r="F3" s="11">
        <f t="shared" si="0"/>
        <v>3135.6066776284188</v>
      </c>
      <c r="G3" s="11">
        <f t="shared" si="1"/>
        <v>4532.173322371581</v>
      </c>
      <c r="H3" s="9" t="s">
        <v>208</v>
      </c>
      <c r="I3" s="11"/>
    </row>
    <row r="4" ht="14.25" customHeight="1">
      <c r="A4" s="7">
        <v>45870</v>
      </c>
      <c r="B4" s="8" t="s">
        <v>16</v>
      </c>
      <c r="C4" s="9">
        <v>25213</v>
      </c>
      <c r="D4" s="10" t="s">
        <v>20</v>
      </c>
      <c r="E4" s="10" t="s">
        <v>15</v>
      </c>
      <c r="F4" s="11">
        <f t="shared" si="0"/>
        <v>10310.422464265448</v>
      </c>
      <c r="G4" s="11">
        <f t="shared" si="1"/>
        <v>14902.577535734552</v>
      </c>
      <c r="H4" s="9" t="s">
        <v>209</v>
      </c>
      <c r="I4" s="11"/>
    </row>
    <row r="5" ht="14.25" customHeight="1">
      <c r="A5" s="7">
        <v>45892</v>
      </c>
      <c r="B5" s="8" t="s">
        <v>16</v>
      </c>
      <c r="C5" s="9">
        <v>5617</v>
      </c>
      <c r="D5" s="10" t="s">
        <v>20</v>
      </c>
      <c r="E5" s="10" t="s">
        <v>15</v>
      </c>
      <c r="F5" s="11">
        <f t="shared" si="0"/>
        <v>2296.9754881124427</v>
      </c>
      <c r="G5" s="11">
        <f t="shared" si="1"/>
        <v>3320.0245118875573</v>
      </c>
      <c r="H5" s="9" t="s">
        <v>208</v>
      </c>
      <c r="I5" s="11"/>
    </row>
    <row r="6" ht="14.25" customHeight="1">
      <c r="A6" s="7">
        <v>45962</v>
      </c>
      <c r="B6" s="8" t="s">
        <v>16</v>
      </c>
      <c r="C6" s="9">
        <v>16046.67</v>
      </c>
      <c r="D6" s="10" t="s">
        <v>20</v>
      </c>
      <c r="E6" s="10" t="s">
        <v>15</v>
      </c>
      <c r="F6" s="11">
        <f t="shared" si="0"/>
        <v>6562.0095523997315</v>
      </c>
      <c r="G6" s="11">
        <f t="shared" si="1"/>
        <v>9484.6604476002685</v>
      </c>
      <c r="H6" s="9" t="s">
        <v>210</v>
      </c>
      <c r="I6" s="11"/>
    </row>
    <row r="7" ht="14.25" customHeight="1">
      <c r="A7" s="7">
        <v>45962</v>
      </c>
      <c r="B7" s="8" t="s">
        <v>16</v>
      </c>
      <c r="C7" s="9">
        <v>151833.34</v>
      </c>
      <c r="D7" s="10" t="s">
        <v>14</v>
      </c>
      <c r="E7" s="10" t="s">
        <v>15</v>
      </c>
      <c r="F7" s="11">
        <f t="shared" si="0"/>
        <v>62089.631521851967</v>
      </c>
      <c r="G7" s="11">
        <f t="shared" si="1"/>
        <v>89743.708478148037</v>
      </c>
      <c r="H7" s="9" t="s">
        <v>211</v>
      </c>
      <c r="I7" s="11"/>
      <c r="J7" s="10" t="s">
        <v>24</v>
      </c>
      <c r="K7" s="14">
        <v>1774992</v>
      </c>
    </row>
    <row r="8" ht="14.25" customHeight="1">
      <c r="A8" s="7">
        <v>45955</v>
      </c>
      <c r="B8" s="8" t="s">
        <v>68</v>
      </c>
      <c r="C8" s="9">
        <v>19866</v>
      </c>
      <c r="D8" s="10" t="s">
        <v>14</v>
      </c>
      <c r="E8" s="10" t="s">
        <v>15</v>
      </c>
      <c r="F8" s="11">
        <f t="shared" si="0"/>
        <v>8123.85882977422</v>
      </c>
      <c r="G8" s="11">
        <f t="shared" si="1"/>
        <v>11742.141170225781</v>
      </c>
      <c r="H8" s="9" t="s">
        <v>212</v>
      </c>
      <c r="I8" s="11"/>
      <c r="J8" s="10" t="s">
        <v>25</v>
      </c>
      <c r="K8" s="14">
        <v>2565555</v>
      </c>
    </row>
    <row r="9" ht="14.25" customHeight="1">
      <c r="A9" s="7">
        <v>45968</v>
      </c>
      <c r="B9" s="8" t="s">
        <v>16</v>
      </c>
      <c r="C9" s="9">
        <v>15998</v>
      </c>
      <c r="D9" s="10" t="s">
        <v>20</v>
      </c>
      <c r="E9" s="10" t="s">
        <v>15</v>
      </c>
      <c r="F9" s="11">
        <f t="shared" si="0"/>
        <v>6542.10679345253</v>
      </c>
      <c r="G9" s="11">
        <f t="shared" si="1"/>
        <v>9455.89320654747</v>
      </c>
      <c r="H9" s="9" t="s">
        <v>213</v>
      </c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ref="F10:F100" t="shared" si="2">IF(B10="Consolidación",0,IF(E10="NO",C10*0.5,C10*$K$10))</f>
        <v>0</v>
      </c>
      <c r="G10" s="11">
        <f ref="G10:G100" t="shared" si="3">IF(B10="Consolidación",0,IF(E10="NO",C10*0.5,C10*$K$11))</f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2"/>
        <v>0</v>
      </c>
      <c r="G11" s="11">
        <f t="shared" si="3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2"/>
        <v>0</v>
      </c>
      <c r="G12" s="11">
        <f t="shared" si="3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2"/>
        <v>0</v>
      </c>
      <c r="G13" s="11">
        <f t="shared" si="3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2"/>
        <v>0</v>
      </c>
      <c r="G14" s="11">
        <f t="shared" si="3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2"/>
        <v>0</v>
      </c>
      <c r="G15" s="11">
        <f t="shared" si="3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2"/>
        <v>0</v>
      </c>
      <c r="G16" s="11">
        <f t="shared" si="3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2"/>
        <v>0</v>
      </c>
      <c r="G17" s="11">
        <f t="shared" si="3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2"/>
        <v>0</v>
      </c>
      <c r="G18" s="11">
        <f t="shared" si="3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2"/>
        <v>0</v>
      </c>
      <c r="G19" s="11">
        <f t="shared" si="3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2"/>
        <v>0</v>
      </c>
      <c r="G20" s="11">
        <f t="shared" si="3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2"/>
        <v>0</v>
      </c>
      <c r="G21" s="11">
        <f t="shared" si="3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2"/>
        <v>0</v>
      </c>
      <c r="G22" s="11">
        <f t="shared" si="3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2"/>
        <v>0</v>
      </c>
      <c r="G23" s="11">
        <f t="shared" si="3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2"/>
        <v>0</v>
      </c>
      <c r="G24" s="11">
        <f t="shared" si="3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2"/>
        <v>0</v>
      </c>
      <c r="G25" s="11">
        <f t="shared" si="3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2"/>
        <v>0</v>
      </c>
      <c r="G26" s="11">
        <f t="shared" si="3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2"/>
        <v>0</v>
      </c>
      <c r="G27" s="11">
        <f t="shared" si="3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2"/>
        <v>0</v>
      </c>
      <c r="G28" s="11">
        <f t="shared" si="3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2"/>
        <v>0</v>
      </c>
      <c r="G29" s="11">
        <f t="shared" si="3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2"/>
        <v>0</v>
      </c>
      <c r="G30" s="11">
        <f t="shared" si="3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2"/>
        <v>0</v>
      </c>
      <c r="G31" s="11">
        <f t="shared" si="3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2"/>
        <v>0</v>
      </c>
      <c r="G32" s="11">
        <f t="shared" si="3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2"/>
        <v>0</v>
      </c>
      <c r="G33" s="11">
        <f t="shared" si="3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2"/>
        <v>0</v>
      </c>
      <c r="G34" s="11">
        <f t="shared" si="3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2"/>
        <v>0</v>
      </c>
      <c r="G35" s="11">
        <f t="shared" si="3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2"/>
        <v>0</v>
      </c>
      <c r="G36" s="11">
        <f t="shared" si="3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2"/>
        <v>0</v>
      </c>
      <c r="G37" s="11">
        <f t="shared" si="3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2"/>
        <v>0</v>
      </c>
      <c r="G38" s="11">
        <f t="shared" si="3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2"/>
        <v>0</v>
      </c>
      <c r="G39" s="11">
        <f t="shared" si="3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2"/>
        <v>0</v>
      </c>
      <c r="G40" s="11">
        <f t="shared" si="3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2"/>
        <v>0</v>
      </c>
      <c r="G41" s="11">
        <f t="shared" si="3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2"/>
        <v>0</v>
      </c>
      <c r="G42" s="11">
        <f t="shared" si="3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2"/>
        <v>0</v>
      </c>
      <c r="G43" s="11">
        <f t="shared" si="3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2"/>
        <v>0</v>
      </c>
      <c r="G44" s="11">
        <f t="shared" si="3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2"/>
        <v>0</v>
      </c>
      <c r="G45" s="11">
        <f t="shared" si="3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2"/>
        <v>0</v>
      </c>
      <c r="G46" s="11">
        <f t="shared" si="3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2"/>
        <v>0</v>
      </c>
      <c r="G47" s="11">
        <f t="shared" si="3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2"/>
        <v>0</v>
      </c>
      <c r="G48" s="11">
        <f t="shared" si="3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2"/>
        <v>0</v>
      </c>
      <c r="G49" s="11">
        <f t="shared" si="3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2"/>
        <v>0</v>
      </c>
      <c r="G50" s="11">
        <f t="shared" si="3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2"/>
        <v>0</v>
      </c>
      <c r="G51" s="11">
        <f t="shared" si="3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2"/>
        <v>0</v>
      </c>
      <c r="G52" s="11">
        <f t="shared" si="3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2"/>
        <v>0</v>
      </c>
      <c r="G53" s="11">
        <f t="shared" si="3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2"/>
        <v>0</v>
      </c>
      <c r="G54" s="11">
        <f t="shared" si="3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2"/>
        <v>0</v>
      </c>
      <c r="G55" s="11">
        <f t="shared" si="3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2"/>
        <v>0</v>
      </c>
      <c r="G56" s="11">
        <f t="shared" si="3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2"/>
        <v>0</v>
      </c>
      <c r="G57" s="11">
        <f t="shared" si="3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2"/>
        <v>0</v>
      </c>
      <c r="G58" s="11">
        <f t="shared" si="3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2"/>
        <v>0</v>
      </c>
      <c r="G59" s="11">
        <f t="shared" si="3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2"/>
        <v>0</v>
      </c>
      <c r="G60" s="11">
        <f t="shared" si="3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2"/>
        <v>0</v>
      </c>
      <c r="G61" s="11">
        <f t="shared" si="3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2"/>
        <v>0</v>
      </c>
      <c r="G62" s="11">
        <f t="shared" si="3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2"/>
        <v>0</v>
      </c>
      <c r="G63" s="11">
        <f t="shared" si="3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2"/>
        <v>0</v>
      </c>
      <c r="G64" s="11">
        <f t="shared" si="3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2"/>
        <v>0</v>
      </c>
      <c r="G65" s="11">
        <f t="shared" si="3"/>
        <v>0</v>
      </c>
      <c r="H65" s="9"/>
    </row>
    <row r="66" ht="14.25" customHeight="1">
      <c r="A66" s="7"/>
      <c r="B66" s="8"/>
      <c r="C66" s="9"/>
      <c r="D66" s="10"/>
      <c r="E66" s="10"/>
      <c r="F66" s="11">
        <f t="shared" si="2"/>
        <v>0</v>
      </c>
      <c r="G66" s="11">
        <f t="shared" si="3"/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>
      <c r="A101" s="20">
        <v>46067.7686561574</v>
      </c>
      <c r="B101" s="0" t="s">
        <v>128</v>
      </c>
      <c r="C101" s="21">
        <v>1</v>
      </c>
      <c r="D101" s="0" t="s">
        <v>14</v>
      </c>
      <c r="E101" s="0" t="s">
        <v>175</v>
      </c>
      <c r="H101" s="0" t="s">
        <v>214</v>
      </c>
    </row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:D4 D6:D7 D9:D50" xr:uid="{5E1699C1-9DE9-4EF3-88CB-44D5ECBCE4BA}">
      <formula1>Quien</formula1>
    </dataValidation>
    <dataValidation type="list" allowBlank="1" showErrorMessage="1" sqref="E2:E4 E6:E7 E9:E50" xr:uid="{26CB9243-0A86-4CE7-A412-268A1991F2B2}">
      <formula1>Proporcional</formula1>
    </dataValidation>
    <dataValidation type="list" allowBlank="1" showErrorMessage="1" sqref="B2:B4 B6:B7 B9:B50" xr:uid="{AA565EBC-DB3B-41D0-B4DA-C66D11894960}">
      <formula1>Tipo</formula1>
    </dataValidation>
    <dataValidation type="decimal" allowBlank="1" showErrorMessage="1" sqref="C2:C4 C6:C7 C9:C50" xr:uid="{2E16BE29-F376-4E6A-B822-A22E381632C7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038FC-F42D-4EB7-A312-2B13FDAEFD86}">
  <sheetPr codeName="Hoja134"/>
  <dimension ref="A1:N101"/>
  <sheetViews>
    <sheetView zoomScale="85" zoomScaleNormal="85" workbookViewId="0">
      <selection activeCell="D15" sqref="D15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45870</v>
      </c>
      <c r="B2" s="8" t="s">
        <v>19</v>
      </c>
      <c r="C2" s="9">
        <v>4652</v>
      </c>
      <c r="D2" s="10" t="s">
        <v>20</v>
      </c>
      <c r="E2" s="10" t="s">
        <v>15</v>
      </c>
      <c r="F2" s="11">
        <f ref="F2:F65" t="shared" si="0">IF(B2="Consolidación",0,IF(E2="NO",C2*0.5,C2*$K$10))</f>
        <v>1902.3553446143999</v>
      </c>
      <c r="G2" s="11">
        <f ref="G2:G65" t="shared" si="1">IF(B2="Consolidación",0,IF(E2="NO",C2*0.5,C2*$K$11))</f>
        <v>2749.6446553856</v>
      </c>
      <c r="H2" s="9" t="s">
        <v>215</v>
      </c>
      <c r="I2" s="11"/>
      <c r="J2" s="12">
        <f>SUM(K2,L2)</f>
        <v>246893.78999999998</v>
      </c>
      <c r="K2" s="12">
        <f>SUMIF(D2:D100,"Andrea",C2:C100)-SUMIFS(C2:C100,B2:B100,"Consolidación",D2:D100,"Juan")</f>
        <v>75194.45</v>
      </c>
      <c r="L2" s="12">
        <f>SUMIF(D2:D100,"Juan",C2:C100)-SUMIFS(C2:C100,B2:B100,"Consolidación",D2:D100,"Andrea")</f>
        <v>171699.34</v>
      </c>
      <c r="M2" s="13">
        <f>SUM(F2:F500)-K2+'Febrero-26'!M2</f>
        <v>413027.34933318954</v>
      </c>
      <c r="N2" s="13">
        <f>SUM(G2:G500)-L2+'Febrero-26'!N2</f>
        <v>-413027.3493331885</v>
      </c>
    </row>
    <row r="3" ht="14.25" customHeight="1">
      <c r="A3" s="7">
        <v>45870</v>
      </c>
      <c r="B3" s="8" t="s">
        <v>16</v>
      </c>
      <c r="C3" s="9">
        <v>7667.78</v>
      </c>
      <c r="D3" s="10" t="s">
        <v>20</v>
      </c>
      <c r="E3" s="10" t="s">
        <v>15</v>
      </c>
      <c r="F3" s="11">
        <f t="shared" si="0"/>
        <v>3135.6066776284188</v>
      </c>
      <c r="G3" s="11">
        <f t="shared" si="1"/>
        <v>4532.173322371581</v>
      </c>
      <c r="H3" s="9" t="s">
        <v>215</v>
      </c>
      <c r="I3" s="11"/>
    </row>
    <row r="4" ht="14.25" customHeight="1">
      <c r="A4" s="7">
        <v>45870</v>
      </c>
      <c r="B4" s="8" t="s">
        <v>16</v>
      </c>
      <c r="C4" s="9">
        <v>25213</v>
      </c>
      <c r="D4" s="10" t="s">
        <v>20</v>
      </c>
      <c r="E4" s="10" t="s">
        <v>15</v>
      </c>
      <c r="F4" s="11">
        <f t="shared" si="0"/>
        <v>10310.422464265448</v>
      </c>
      <c r="G4" s="11">
        <f t="shared" si="1"/>
        <v>14902.577535734552</v>
      </c>
      <c r="H4" s="9" t="s">
        <v>216</v>
      </c>
      <c r="I4" s="11"/>
    </row>
    <row r="5" ht="14.25" customHeight="1">
      <c r="A5" s="7">
        <v>45892</v>
      </c>
      <c r="B5" s="8" t="s">
        <v>16</v>
      </c>
      <c r="C5" s="9">
        <v>5617</v>
      </c>
      <c r="D5" s="10" t="s">
        <v>20</v>
      </c>
      <c r="E5" s="10" t="s">
        <v>15</v>
      </c>
      <c r="F5" s="11">
        <f t="shared" si="0"/>
        <v>2296.9754881124427</v>
      </c>
      <c r="G5" s="11">
        <f t="shared" si="1"/>
        <v>3320.0245118875573</v>
      </c>
      <c r="H5" s="9" t="s">
        <v>215</v>
      </c>
      <c r="I5" s="11"/>
    </row>
    <row r="6" ht="14.25" customHeight="1">
      <c r="A6" s="7">
        <v>45962</v>
      </c>
      <c r="B6" s="8" t="s">
        <v>16</v>
      </c>
      <c r="C6" s="9">
        <v>16046.67</v>
      </c>
      <c r="D6" s="10" t="s">
        <v>20</v>
      </c>
      <c r="E6" s="10" t="s">
        <v>15</v>
      </c>
      <c r="F6" s="11">
        <f t="shared" si="0"/>
        <v>6562.0095523997315</v>
      </c>
      <c r="G6" s="11">
        <f t="shared" si="1"/>
        <v>9484.6604476002685</v>
      </c>
      <c r="H6" s="9" t="s">
        <v>217</v>
      </c>
      <c r="I6" s="11"/>
    </row>
    <row r="7" ht="14.25" customHeight="1">
      <c r="A7" s="7">
        <v>45962</v>
      </c>
      <c r="B7" s="8" t="s">
        <v>16</v>
      </c>
      <c r="C7" s="9">
        <v>151833.34</v>
      </c>
      <c r="D7" s="10" t="s">
        <v>14</v>
      </c>
      <c r="E7" s="10" t="s">
        <v>15</v>
      </c>
      <c r="F7" s="11">
        <f t="shared" si="0"/>
        <v>62089.631521851967</v>
      </c>
      <c r="G7" s="11">
        <f t="shared" si="1"/>
        <v>89743.708478148037</v>
      </c>
      <c r="H7" s="9" t="s">
        <v>218</v>
      </c>
      <c r="I7" s="11"/>
      <c r="J7" s="10" t="s">
        <v>24</v>
      </c>
      <c r="K7" s="14">
        <v>1774992</v>
      </c>
    </row>
    <row r="8" ht="14.25" customHeight="1">
      <c r="A8" s="7">
        <v>45955</v>
      </c>
      <c r="B8" s="8" t="s">
        <v>68</v>
      </c>
      <c r="C8" s="9">
        <v>19866</v>
      </c>
      <c r="D8" s="10" t="s">
        <v>14</v>
      </c>
      <c r="E8" s="10" t="s">
        <v>15</v>
      </c>
      <c r="F8" s="11">
        <f t="shared" si="0"/>
        <v>8123.85882977422</v>
      </c>
      <c r="G8" s="11">
        <f t="shared" si="1"/>
        <v>11742.141170225781</v>
      </c>
      <c r="H8" s="9" t="s">
        <v>219</v>
      </c>
      <c r="I8" s="11"/>
      <c r="J8" s="10" t="s">
        <v>25</v>
      </c>
      <c r="K8" s="14">
        <v>2565555</v>
      </c>
    </row>
    <row r="9" ht="14.25" customHeight="1">
      <c r="A9" s="7">
        <v>45968</v>
      </c>
      <c r="B9" s="8" t="s">
        <v>16</v>
      </c>
      <c r="C9" s="9">
        <v>15998</v>
      </c>
      <c r="D9" s="10" t="s">
        <v>20</v>
      </c>
      <c r="E9" s="10" t="s">
        <v>15</v>
      </c>
      <c r="F9" s="11">
        <f t="shared" si="0"/>
        <v>6542.10679345253</v>
      </c>
      <c r="G9" s="11">
        <f t="shared" si="1"/>
        <v>9455.89320654747</v>
      </c>
      <c r="H9" s="9" t="s">
        <v>220</v>
      </c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>
      <c r="A101" s="20">
        <v>46095.7686561574</v>
      </c>
      <c r="B101" s="0" t="s">
        <v>128</v>
      </c>
      <c r="C101" s="21">
        <v>1</v>
      </c>
      <c r="D101" s="0" t="s">
        <v>14</v>
      </c>
      <c r="E101" s="0" t="s">
        <v>175</v>
      </c>
      <c r="H101" s="0" t="s">
        <v>221</v>
      </c>
    </row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2:C4 C6:C7 C9:C50" xr:uid="{F1343D45-7A1D-4D64-A97A-31FBA350B94F}">
      <formula1>0</formula1>
      <formula2>9999999</formula2>
    </dataValidation>
    <dataValidation type="list" allowBlank="1" showErrorMessage="1" sqref="B2:B4 B6:B7 B9:B50" xr:uid="{75AE2795-CDD8-49D8-AF3C-8E2A734CEC53}">
      <formula1>Tipo</formula1>
    </dataValidation>
    <dataValidation type="list" allowBlank="1" showErrorMessage="1" sqref="E2:E4 E6:E7 E9:E50" xr:uid="{31CD172C-E34E-4328-AF2C-233B53DBAA86}">
      <formula1>Proporcional</formula1>
    </dataValidation>
    <dataValidation type="list" allowBlank="1" showErrorMessage="1" sqref="D2:D4 D6:D7 D9:D50" xr:uid="{875EB08B-42DC-4CFD-9A32-E26C09BEDD27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8E299-7EE3-489F-9E54-0197F8C98B67}">
  <sheetPr codeName="Hoja135"/>
  <dimension ref="A1:N101"/>
  <sheetViews>
    <sheetView zoomScale="85" zoomScaleNormal="85" workbookViewId="0">
      <selection activeCell="E13" sqref="E13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45870</v>
      </c>
      <c r="B2" s="8" t="s">
        <v>19</v>
      </c>
      <c r="C2" s="9">
        <v>4652</v>
      </c>
      <c r="D2" s="10" t="s">
        <v>20</v>
      </c>
      <c r="E2" s="10" t="s">
        <v>15</v>
      </c>
      <c r="F2" s="11">
        <f ref="F2:F65" t="shared" si="0">IF(B2="Consolidación",0,IF(E2="NO",C2*0.5,C2*$K$10))</f>
        <v>1902.3553446143999</v>
      </c>
      <c r="G2" s="11">
        <f ref="G2:G65" t="shared" si="1">IF(B2="Consolidación",0,IF(E2="NO",C2*0.5,C2*$K$11))</f>
        <v>2749.6446553856</v>
      </c>
      <c r="H2" s="9" t="s">
        <v>222</v>
      </c>
      <c r="I2" s="11"/>
      <c r="J2" s="12">
        <f>SUM(K2,L2)</f>
        <v>246893.78999999998</v>
      </c>
      <c r="K2" s="12">
        <f>SUMIF(D2:D100,"Andrea",C2:C100)-SUMIFS(C2:C100,B2:B100,"Consolidación",D2:D100,"Juan")</f>
        <v>75194.45</v>
      </c>
      <c r="L2" s="12">
        <f>SUMIF(D2:D100,"Juan",C2:C100)-SUMIFS(C2:C100,B2:B100,"Consolidación",D2:D100,"Andrea")</f>
        <v>171699.34</v>
      </c>
      <c r="M2" s="13">
        <f>SUM(F2:F500)-K2+'Marzo-26'!M2</f>
        <v>438795.86600528873</v>
      </c>
      <c r="N2" s="13">
        <f>SUM(G2:G500)-L2+'Marzo-26'!N2</f>
        <v>-438795.86600528762</v>
      </c>
    </row>
    <row r="3" ht="14.25" customHeight="1">
      <c r="A3" s="7">
        <v>45870</v>
      </c>
      <c r="B3" s="8" t="s">
        <v>16</v>
      </c>
      <c r="C3" s="9">
        <v>7667.78</v>
      </c>
      <c r="D3" s="10" t="s">
        <v>20</v>
      </c>
      <c r="E3" s="10" t="s">
        <v>15</v>
      </c>
      <c r="F3" s="11">
        <f t="shared" si="0"/>
        <v>3135.6066776284188</v>
      </c>
      <c r="G3" s="11">
        <f t="shared" si="1"/>
        <v>4532.173322371581</v>
      </c>
      <c r="H3" s="9" t="s">
        <v>222</v>
      </c>
      <c r="I3" s="11"/>
    </row>
    <row r="4" ht="14.25" customHeight="1">
      <c r="A4" s="7">
        <v>45870</v>
      </c>
      <c r="B4" s="8" t="s">
        <v>16</v>
      </c>
      <c r="C4" s="9">
        <v>25213</v>
      </c>
      <c r="D4" s="10" t="s">
        <v>20</v>
      </c>
      <c r="E4" s="10" t="s">
        <v>15</v>
      </c>
      <c r="F4" s="11">
        <f t="shared" si="0"/>
        <v>10310.422464265448</v>
      </c>
      <c r="G4" s="11">
        <f t="shared" si="1"/>
        <v>14902.577535734552</v>
      </c>
      <c r="H4" s="9" t="s">
        <v>223</v>
      </c>
      <c r="I4" s="11"/>
    </row>
    <row r="5" ht="14.25" customHeight="1">
      <c r="A5" s="7">
        <v>45892</v>
      </c>
      <c r="B5" s="8" t="s">
        <v>16</v>
      </c>
      <c r="C5" s="9">
        <v>5617</v>
      </c>
      <c r="D5" s="10" t="s">
        <v>20</v>
      </c>
      <c r="E5" s="10" t="s">
        <v>15</v>
      </c>
      <c r="F5" s="11">
        <f t="shared" si="0"/>
        <v>2296.9754881124427</v>
      </c>
      <c r="G5" s="11">
        <f t="shared" si="1"/>
        <v>3320.0245118875573</v>
      </c>
      <c r="H5" s="9" t="s">
        <v>222</v>
      </c>
      <c r="I5" s="11"/>
    </row>
    <row r="6" ht="14.25" customHeight="1">
      <c r="A6" s="7">
        <v>45962</v>
      </c>
      <c r="B6" s="8" t="s">
        <v>16</v>
      </c>
      <c r="C6" s="9">
        <v>16046.67</v>
      </c>
      <c r="D6" s="10" t="s">
        <v>20</v>
      </c>
      <c r="E6" s="10" t="s">
        <v>15</v>
      </c>
      <c r="F6" s="11">
        <f t="shared" si="0"/>
        <v>6562.0095523997315</v>
      </c>
      <c r="G6" s="11">
        <f t="shared" si="1"/>
        <v>9484.6604476002685</v>
      </c>
      <c r="H6" s="9" t="s">
        <v>224</v>
      </c>
      <c r="I6" s="11"/>
    </row>
    <row r="7" ht="14.25" customHeight="1">
      <c r="A7" s="7">
        <v>45962</v>
      </c>
      <c r="B7" s="8" t="s">
        <v>16</v>
      </c>
      <c r="C7" s="9">
        <v>151833.34</v>
      </c>
      <c r="D7" s="10" t="s">
        <v>14</v>
      </c>
      <c r="E7" s="10" t="s">
        <v>15</v>
      </c>
      <c r="F7" s="11">
        <f t="shared" si="0"/>
        <v>62089.631521851967</v>
      </c>
      <c r="G7" s="11">
        <f t="shared" si="1"/>
        <v>89743.708478148037</v>
      </c>
      <c r="H7" s="9" t="s">
        <v>225</v>
      </c>
      <c r="I7" s="11"/>
      <c r="J7" s="10" t="s">
        <v>24</v>
      </c>
      <c r="K7" s="14">
        <v>1774992</v>
      </c>
    </row>
    <row r="8" ht="14.25" customHeight="1">
      <c r="A8" s="7">
        <v>45955</v>
      </c>
      <c r="B8" s="8" t="s">
        <v>68</v>
      </c>
      <c r="C8" s="9">
        <v>19866</v>
      </c>
      <c r="D8" s="10" t="s">
        <v>14</v>
      </c>
      <c r="E8" s="10" t="s">
        <v>15</v>
      </c>
      <c r="F8" s="11">
        <f t="shared" si="0"/>
        <v>8123.85882977422</v>
      </c>
      <c r="G8" s="11">
        <f t="shared" si="1"/>
        <v>11742.141170225781</v>
      </c>
      <c r="H8" s="9" t="s">
        <v>226</v>
      </c>
      <c r="I8" s="11"/>
      <c r="J8" s="10" t="s">
        <v>25</v>
      </c>
      <c r="K8" s="14">
        <v>2565555</v>
      </c>
    </row>
    <row r="9" ht="14.25" customHeight="1">
      <c r="A9" s="7">
        <v>45968</v>
      </c>
      <c r="B9" s="8" t="s">
        <v>16</v>
      </c>
      <c r="C9" s="9">
        <v>15998</v>
      </c>
      <c r="D9" s="10" t="s">
        <v>20</v>
      </c>
      <c r="E9" s="10" t="s">
        <v>15</v>
      </c>
      <c r="F9" s="11">
        <f t="shared" si="0"/>
        <v>6542.10679345253</v>
      </c>
      <c r="G9" s="11">
        <f t="shared" si="1"/>
        <v>9455.89320654747</v>
      </c>
      <c r="H9" s="9" t="s">
        <v>227</v>
      </c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>
      <c r="A101" s="20">
        <v>46126.7686561574</v>
      </c>
      <c r="B101" s="0" t="s">
        <v>128</v>
      </c>
      <c r="C101" s="21">
        <v>1</v>
      </c>
      <c r="D101" s="0" t="s">
        <v>14</v>
      </c>
      <c r="E101" s="0" t="s">
        <v>175</v>
      </c>
      <c r="H101" s="0" t="s">
        <v>228</v>
      </c>
    </row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:D4 D6:D7 D9:D50" xr:uid="{2DD1CEEB-EBA7-46C6-9DF4-C18A943A494E}">
      <formula1>Quien</formula1>
    </dataValidation>
    <dataValidation type="list" allowBlank="1" showErrorMessage="1" sqref="E2:E4 E6:E7 E9:E50" xr:uid="{EF7E5D0B-B9F9-43BD-BAF0-24D7540F3023}">
      <formula1>Proporcional</formula1>
    </dataValidation>
    <dataValidation type="list" allowBlank="1" showErrorMessage="1" sqref="B2:B4 B6:B7 B9:B50" xr:uid="{49744550-E9C5-4179-89E5-39510E574D77}">
      <formula1>Tipo</formula1>
    </dataValidation>
    <dataValidation type="decimal" allowBlank="1" showErrorMessage="1" sqref="C2:C4 C6:C7 C9:C50" xr:uid="{EA32DC87-9EA5-4580-8D90-AEAADA453A6B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3A5AF-1274-43C6-8EE0-38A65513F0EF}">
  <sheetPr codeName="Hoja136"/>
  <dimension ref="A1:N101"/>
  <sheetViews>
    <sheetView zoomScale="85" zoomScaleNormal="85" workbookViewId="0">
      <selection activeCell="A4" sqref="A4:H4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45870</v>
      </c>
      <c r="B2" s="8" t="s">
        <v>16</v>
      </c>
      <c r="C2" s="9">
        <v>25213</v>
      </c>
      <c r="D2" s="10" t="s">
        <v>20</v>
      </c>
      <c r="E2" s="10" t="s">
        <v>15</v>
      </c>
      <c r="F2" s="11">
        <f ref="F2:F4" t="shared" si="0">IF(B2="Consolidación",0,IF(E2="NO",C2*0.5,C2*$K$10))</f>
        <v>10310.422464265448</v>
      </c>
      <c r="G2" s="11">
        <f ref="G2:G4" t="shared" si="1">IF(B2="Consolidación",0,IF(E2="NO",C2*0.5,C2*$K$11))</f>
        <v>14902.577535734552</v>
      </c>
      <c r="H2" s="9" t="s">
        <v>229</v>
      </c>
      <c r="I2" s="11"/>
      <c r="J2" s="12">
        <f>SUM(K2,L2)</f>
        <v>196912.34</v>
      </c>
      <c r="K2" s="12">
        <f>SUMIF(D2:D100,"Andrea",C2:C100)-SUMIFS(C2:C100,B2:B100,"Consolidación",D2:D100,"Juan")</f>
        <v>25213</v>
      </c>
      <c r="L2" s="12">
        <f>SUMIF(D2:D100,"Juan",C2:C100)-SUMIFS(C2:C100,B2:B100,"Consolidación",D2:D100,"Andrea")</f>
        <v>171699.34</v>
      </c>
      <c r="M2" s="13">
        <f>SUM(F2:F500)-K2+'Abril-26'!M2</f>
        <v>494106.77882118034</v>
      </c>
      <c r="N2" s="13">
        <f>SUM(G2:G500)-L2+'Abril-26'!N2</f>
        <v>-494106.77882117924</v>
      </c>
    </row>
    <row r="3" ht="14.25" customHeight="1">
      <c r="A3" s="7">
        <v>45962</v>
      </c>
      <c r="B3" s="8" t="s">
        <v>16</v>
      </c>
      <c r="C3" s="9">
        <v>151833.34</v>
      </c>
      <c r="D3" s="10" t="s">
        <v>14</v>
      </c>
      <c r="E3" s="10" t="s">
        <v>15</v>
      </c>
      <c r="F3" s="11">
        <f t="shared" si="0"/>
        <v>62089.631521851967</v>
      </c>
      <c r="G3" s="11">
        <f t="shared" si="1"/>
        <v>89743.708478148037</v>
      </c>
      <c r="H3" s="9" t="s">
        <v>230</v>
      </c>
      <c r="I3" s="11"/>
    </row>
    <row r="4" ht="14.25" customHeight="1">
      <c r="A4" s="7">
        <v>45955</v>
      </c>
      <c r="B4" s="8" t="s">
        <v>68</v>
      </c>
      <c r="C4" s="9">
        <v>19866</v>
      </c>
      <c r="D4" s="10" t="s">
        <v>14</v>
      </c>
      <c r="E4" s="10" t="s">
        <v>15</v>
      </c>
      <c r="F4" s="11">
        <f t="shared" si="0"/>
        <v>8123.85882977422</v>
      </c>
      <c r="G4" s="11">
        <f t="shared" si="1"/>
        <v>11742.141170225781</v>
      </c>
      <c r="H4" s="9" t="s">
        <v>231</v>
      </c>
      <c r="I4" s="11"/>
    </row>
    <row r="5" ht="14.25" customHeight="1">
      <c r="A5" s="7"/>
      <c r="B5" s="8"/>
      <c r="C5" s="9"/>
      <c r="D5" s="10"/>
      <c r="E5" s="10"/>
      <c r="F5" s="11">
        <f ref="F5:F65" t="shared" si="2">IF(B5="Consolidación",0,IF(E5="NO",C5*0.5,C5*$K$10))</f>
        <v>0</v>
      </c>
      <c r="G5" s="11">
        <f ref="G5:G65" t="shared" si="3">IF(B5="Consolidación",0,IF(E5="NO",C5*0.5,C5*$K$11))</f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2"/>
        <v>0</v>
      </c>
      <c r="G6" s="11">
        <f t="shared" si="3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2"/>
        <v>0</v>
      </c>
      <c r="G7" s="11">
        <f t="shared" si="3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2"/>
        <v>0</v>
      </c>
      <c r="G8" s="11">
        <f t="shared" si="3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2"/>
        <v>0</v>
      </c>
      <c r="G9" s="11">
        <f t="shared" si="3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2"/>
        <v>0</v>
      </c>
      <c r="G10" s="11">
        <f t="shared" si="3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2"/>
        <v>0</v>
      </c>
      <c r="G11" s="11">
        <f t="shared" si="3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2"/>
        <v>0</v>
      </c>
      <c r="G12" s="11">
        <f t="shared" si="3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2"/>
        <v>0</v>
      </c>
      <c r="G13" s="11">
        <f t="shared" si="3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2"/>
        <v>0</v>
      </c>
      <c r="G14" s="11">
        <f t="shared" si="3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2"/>
        <v>0</v>
      </c>
      <c r="G15" s="11">
        <f t="shared" si="3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2"/>
        <v>0</v>
      </c>
      <c r="G16" s="11">
        <f t="shared" si="3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2"/>
        <v>0</v>
      </c>
      <c r="G17" s="11">
        <f t="shared" si="3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2"/>
        <v>0</v>
      </c>
      <c r="G18" s="11">
        <f t="shared" si="3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2"/>
        <v>0</v>
      </c>
      <c r="G19" s="11">
        <f t="shared" si="3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2"/>
        <v>0</v>
      </c>
      <c r="G20" s="11">
        <f t="shared" si="3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2"/>
        <v>0</v>
      </c>
      <c r="G21" s="11">
        <f t="shared" si="3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2"/>
        <v>0</v>
      </c>
      <c r="G22" s="11">
        <f t="shared" si="3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2"/>
        <v>0</v>
      </c>
      <c r="G23" s="11">
        <f t="shared" si="3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2"/>
        <v>0</v>
      </c>
      <c r="G24" s="11">
        <f t="shared" si="3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2"/>
        <v>0</v>
      </c>
      <c r="G25" s="11">
        <f t="shared" si="3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2"/>
        <v>0</v>
      </c>
      <c r="G26" s="11">
        <f t="shared" si="3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2"/>
        <v>0</v>
      </c>
      <c r="G27" s="11">
        <f t="shared" si="3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2"/>
        <v>0</v>
      </c>
      <c r="G28" s="11">
        <f t="shared" si="3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2"/>
        <v>0</v>
      </c>
      <c r="G29" s="11">
        <f t="shared" si="3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2"/>
        <v>0</v>
      </c>
      <c r="G30" s="11">
        <f t="shared" si="3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2"/>
        <v>0</v>
      </c>
      <c r="G31" s="11">
        <f t="shared" si="3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2"/>
        <v>0</v>
      </c>
      <c r="G32" s="11">
        <f t="shared" si="3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2"/>
        <v>0</v>
      </c>
      <c r="G33" s="11">
        <f t="shared" si="3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2"/>
        <v>0</v>
      </c>
      <c r="G34" s="11">
        <f t="shared" si="3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2"/>
        <v>0</v>
      </c>
      <c r="G35" s="11">
        <f t="shared" si="3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2"/>
        <v>0</v>
      </c>
      <c r="G36" s="11">
        <f t="shared" si="3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2"/>
        <v>0</v>
      </c>
      <c r="G37" s="11">
        <f t="shared" si="3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2"/>
        <v>0</v>
      </c>
      <c r="G38" s="11">
        <f t="shared" si="3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2"/>
        <v>0</v>
      </c>
      <c r="G39" s="11">
        <f t="shared" si="3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2"/>
        <v>0</v>
      </c>
      <c r="G40" s="11">
        <f t="shared" si="3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2"/>
        <v>0</v>
      </c>
      <c r="G41" s="11">
        <f t="shared" si="3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2"/>
        <v>0</v>
      </c>
      <c r="G42" s="11">
        <f t="shared" si="3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2"/>
        <v>0</v>
      </c>
      <c r="G43" s="11">
        <f t="shared" si="3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2"/>
        <v>0</v>
      </c>
      <c r="G44" s="11">
        <f t="shared" si="3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2"/>
        <v>0</v>
      </c>
      <c r="G45" s="11">
        <f t="shared" si="3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2"/>
        <v>0</v>
      </c>
      <c r="G46" s="11">
        <f t="shared" si="3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2"/>
        <v>0</v>
      </c>
      <c r="G47" s="11">
        <f t="shared" si="3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2"/>
        <v>0</v>
      </c>
      <c r="G48" s="11">
        <f t="shared" si="3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2"/>
        <v>0</v>
      </c>
      <c r="G49" s="11">
        <f t="shared" si="3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2"/>
        <v>0</v>
      </c>
      <c r="G50" s="11">
        <f t="shared" si="3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2"/>
        <v>0</v>
      </c>
      <c r="G51" s="11">
        <f t="shared" si="3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2"/>
        <v>0</v>
      </c>
      <c r="G52" s="11">
        <f t="shared" si="3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2"/>
        <v>0</v>
      </c>
      <c r="G53" s="11">
        <f t="shared" si="3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2"/>
        <v>0</v>
      </c>
      <c r="G54" s="11">
        <f t="shared" si="3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2"/>
        <v>0</v>
      </c>
      <c r="G55" s="11">
        <f t="shared" si="3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2"/>
        <v>0</v>
      </c>
      <c r="G56" s="11">
        <f t="shared" si="3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2"/>
        <v>0</v>
      </c>
      <c r="G57" s="11">
        <f t="shared" si="3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2"/>
        <v>0</v>
      </c>
      <c r="G58" s="11">
        <f t="shared" si="3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2"/>
        <v>0</v>
      </c>
      <c r="G59" s="11">
        <f t="shared" si="3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2"/>
        <v>0</v>
      </c>
      <c r="G60" s="11">
        <f t="shared" si="3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2"/>
        <v>0</v>
      </c>
      <c r="G61" s="11">
        <f t="shared" si="3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2"/>
        <v>0</v>
      </c>
      <c r="G62" s="11">
        <f t="shared" si="3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2"/>
        <v>0</v>
      </c>
      <c r="G63" s="11">
        <f t="shared" si="3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2"/>
        <v>0</v>
      </c>
      <c r="G64" s="11">
        <f t="shared" si="3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2"/>
        <v>0</v>
      </c>
      <c r="G65" s="11">
        <f t="shared" si="3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4">IF(B66="Consolidación",0,IF(E66="NO",C66*0.5,C66*$K$10))</f>
        <v>0</v>
      </c>
      <c r="G66" s="11">
        <f ref="G66:G100" t="shared" si="5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4"/>
        <v>0</v>
      </c>
      <c r="G67" s="11">
        <f t="shared" si="5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4"/>
        <v>0</v>
      </c>
      <c r="G68" s="11">
        <f t="shared" si="5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4"/>
        <v>0</v>
      </c>
      <c r="G69" s="11">
        <f t="shared" si="5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4"/>
        <v>0</v>
      </c>
      <c r="G70" s="11">
        <f t="shared" si="5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4"/>
        <v>0</v>
      </c>
      <c r="G71" s="11">
        <f t="shared" si="5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4"/>
        <v>0</v>
      </c>
      <c r="G72" s="11">
        <f t="shared" si="5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4"/>
        <v>0</v>
      </c>
      <c r="G73" s="11">
        <f t="shared" si="5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4"/>
        <v>0</v>
      </c>
      <c r="G74" s="11">
        <f t="shared" si="5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4"/>
        <v>0</v>
      </c>
      <c r="G75" s="11">
        <f t="shared" si="5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4"/>
        <v>0</v>
      </c>
      <c r="G76" s="11">
        <f t="shared" si="5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4"/>
        <v>0</v>
      </c>
      <c r="G77" s="11">
        <f t="shared" si="5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4"/>
        <v>0</v>
      </c>
      <c r="G78" s="11">
        <f t="shared" si="5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4"/>
        <v>0</v>
      </c>
      <c r="G79" s="11">
        <f t="shared" si="5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4"/>
        <v>0</v>
      </c>
      <c r="G80" s="11">
        <f t="shared" si="5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4"/>
        <v>0</v>
      </c>
      <c r="G81" s="11">
        <f t="shared" si="5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4"/>
        <v>0</v>
      </c>
      <c r="G82" s="11">
        <f t="shared" si="5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4"/>
        <v>0</v>
      </c>
      <c r="G83" s="11">
        <f t="shared" si="5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4"/>
        <v>0</v>
      </c>
      <c r="G84" s="11">
        <f t="shared" si="5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4"/>
        <v>0</v>
      </c>
      <c r="G85" s="11">
        <f t="shared" si="5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4"/>
        <v>0</v>
      </c>
      <c r="G86" s="11">
        <f t="shared" si="5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4"/>
        <v>0</v>
      </c>
      <c r="G87" s="11">
        <f t="shared" si="5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4"/>
        <v>0</v>
      </c>
      <c r="G88" s="11">
        <f t="shared" si="5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4"/>
        <v>0</v>
      </c>
      <c r="G89" s="11">
        <f t="shared" si="5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4"/>
        <v>0</v>
      </c>
      <c r="G90" s="11">
        <f t="shared" si="5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4"/>
        <v>0</v>
      </c>
      <c r="G91" s="11">
        <f t="shared" si="5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4"/>
        <v>0</v>
      </c>
      <c r="G92" s="11">
        <f t="shared" si="5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4"/>
        <v>0</v>
      </c>
      <c r="G93" s="11">
        <f t="shared" si="5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4"/>
        <v>0</v>
      </c>
      <c r="G94" s="11">
        <f t="shared" si="5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4"/>
        <v>0</v>
      </c>
      <c r="G95" s="11">
        <f t="shared" si="5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4"/>
        <v>0</v>
      </c>
      <c r="G96" s="11">
        <f t="shared" si="5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4"/>
        <v>0</v>
      </c>
      <c r="G97" s="11">
        <f t="shared" si="5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4"/>
        <v>0</v>
      </c>
      <c r="G98" s="11">
        <f t="shared" si="5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4"/>
        <v>0</v>
      </c>
      <c r="G99" s="11">
        <f t="shared" si="5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4"/>
        <v>0</v>
      </c>
      <c r="G100" s="11">
        <f t="shared" si="5"/>
        <v>0</v>
      </c>
      <c r="H100" s="9"/>
    </row>
    <row r="101" ht="14.25" customHeight="1">
      <c r="A101" s="20">
        <v>46156.7686561574</v>
      </c>
      <c r="B101" s="0" t="s">
        <v>128</v>
      </c>
      <c r="C101" s="21">
        <v>1</v>
      </c>
      <c r="D101" s="0" t="s">
        <v>14</v>
      </c>
      <c r="E101" s="0" t="s">
        <v>175</v>
      </c>
      <c r="H101" s="0" t="s">
        <v>232</v>
      </c>
    </row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3 C5:C6" xr:uid="{98A30945-955C-48D7-9940-4EDDB4FC5496}">
      <formula1>0</formula1>
      <formula2>9999999</formula2>
    </dataValidation>
    <dataValidation type="list" allowBlank="1" showErrorMessage="1" sqref="B8:B50 B2:B3 B5:B6" xr:uid="{8399E254-B767-4D49-884A-5F0B77B11877}">
      <formula1>Tipo</formula1>
    </dataValidation>
    <dataValidation type="list" allowBlank="1" showErrorMessage="1" sqref="E8:E50 E2:E3 E5:E6" xr:uid="{CDB587ED-C5E4-4D60-B191-78B31916FB4B}">
      <formula1>Proporcional</formula1>
    </dataValidation>
    <dataValidation type="list" allowBlank="1" showErrorMessage="1" sqref="D8:D50 D2:D3 D5:D6" xr:uid="{FE0E8EB7-EC23-4179-8B89-EE681B2599C4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CE8E8-A372-4C46-964E-6F92D16C203D}">
  <sheetPr codeName="Hoja137"/>
  <dimension ref="A1:N101"/>
  <sheetViews>
    <sheetView zoomScale="85" zoomScaleNormal="85" workbookViewId="0">
      <selection activeCell="K17" sqref="K17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45870</v>
      </c>
      <c r="B2" s="8" t="s">
        <v>16</v>
      </c>
      <c r="C2" s="9">
        <v>25213</v>
      </c>
      <c r="D2" s="10" t="s">
        <v>20</v>
      </c>
      <c r="E2" s="10" t="s">
        <v>15</v>
      </c>
      <c r="F2" s="11">
        <f ref="F2:F65" t="shared" si="0">IF(B2="Consolidación",0,IF(E2="NO",C2*0.5,C2*$K$10))</f>
        <v>10310.422464265448</v>
      </c>
      <c r="G2" s="11">
        <f ref="G2:G65" t="shared" si="1">IF(B2="Consolidación",0,IF(E2="NO",C2*0.5,C2*$K$11))</f>
        <v>14902.577535734552</v>
      </c>
      <c r="H2" s="9" t="s">
        <v>233</v>
      </c>
      <c r="I2" s="11"/>
      <c r="J2" s="12">
        <f>SUM(K2,L2)</f>
        <v>196912.34</v>
      </c>
      <c r="K2" s="12">
        <f>SUMIF(D2:D100,"Andrea",C2:C100)-SUMIFS(C2:C100,B2:B100,"Consolidación",D2:D100,"Juan")</f>
        <v>25213</v>
      </c>
      <c r="L2" s="12">
        <f>SUMIF(D2:D100,"Juan",C2:C100)-SUMIFS(C2:C100,B2:B100,"Consolidación",D2:D100,"Andrea")</f>
        <v>171699.34</v>
      </c>
      <c r="M2" s="13">
        <f>SUM(F2:F500)-K2+'Mayo-26'!M2</f>
        <v>549417.691637072</v>
      </c>
      <c r="N2" s="13">
        <f>SUM(G2:G500)-L2+'Mayo-26'!N2</f>
        <v>-549417.69163707085</v>
      </c>
    </row>
    <row r="3" ht="14.25" customHeight="1">
      <c r="A3" s="7">
        <v>45962</v>
      </c>
      <c r="B3" s="8" t="s">
        <v>16</v>
      </c>
      <c r="C3" s="9">
        <v>151833.34</v>
      </c>
      <c r="D3" s="10" t="s">
        <v>14</v>
      </c>
      <c r="E3" s="10" t="s">
        <v>15</v>
      </c>
      <c r="F3" s="11">
        <f t="shared" si="0"/>
        <v>62089.631521851967</v>
      </c>
      <c r="G3" s="11">
        <f t="shared" si="1"/>
        <v>89743.708478148037</v>
      </c>
      <c r="H3" s="9" t="s">
        <v>234</v>
      </c>
      <c r="I3" s="11"/>
    </row>
    <row r="4" ht="14.25" customHeight="1">
      <c r="A4" s="7">
        <v>45955</v>
      </c>
      <c r="B4" s="8" t="s">
        <v>68</v>
      </c>
      <c r="C4" s="9">
        <v>19866</v>
      </c>
      <c r="D4" s="10" t="s">
        <v>14</v>
      </c>
      <c r="E4" s="10" t="s">
        <v>15</v>
      </c>
      <c r="F4" s="11">
        <f t="shared" si="0"/>
        <v>8123.85882977422</v>
      </c>
      <c r="G4" s="11">
        <f t="shared" si="1"/>
        <v>11742.141170225781</v>
      </c>
      <c r="H4" s="9" t="s">
        <v>235</v>
      </c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>
      <c r="A101" s="20">
        <v>46187.7686561574</v>
      </c>
      <c r="B101" s="0" t="s">
        <v>128</v>
      </c>
      <c r="C101" s="21">
        <v>1</v>
      </c>
      <c r="D101" s="0" t="s">
        <v>14</v>
      </c>
      <c r="E101" s="0" t="s">
        <v>175</v>
      </c>
      <c r="H101" s="0" t="s">
        <v>236</v>
      </c>
    </row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8:D50 D2:D3 D5:D6" xr:uid="{F426BF27-A79A-43E1-9EA5-A69BB89789F8}">
      <formula1>Quien</formula1>
    </dataValidation>
    <dataValidation type="list" allowBlank="1" showErrorMessage="1" sqref="E8:E50 E2:E3 E5:E6" xr:uid="{B6F7D489-E647-491A-B68E-83D6805BB32F}">
      <formula1>Proporcional</formula1>
    </dataValidation>
    <dataValidation type="list" allowBlank="1" showErrorMessage="1" sqref="B8:B50 B2:B3 B5:B6" xr:uid="{D6D438FE-55EF-470B-9CAA-231E47FE1DF3}">
      <formula1>Tipo</formula1>
    </dataValidation>
    <dataValidation type="decimal" allowBlank="1" showErrorMessage="1" sqref="C8:C50 C2:C3 C5:C6" xr:uid="{652FE0AF-C9D0-45A0-AABC-16B4079C1B97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F057-2119-4383-916F-511C7B183DE6}">
  <sheetPr codeName="Hoja138"/>
  <dimension ref="A1:N101"/>
  <sheetViews>
    <sheetView zoomScale="85" zoomScaleNormal="85" workbookViewId="0">
      <selection activeCell="L14" sqref="L14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45870</v>
      </c>
      <c r="B2" s="8" t="s">
        <v>16</v>
      </c>
      <c r="C2" s="9">
        <v>25213</v>
      </c>
      <c r="D2" s="10" t="s">
        <v>20</v>
      </c>
      <c r="E2" s="10" t="s">
        <v>15</v>
      </c>
      <c r="F2" s="11">
        <f ref="F2:F65" t="shared" si="0">IF(B2="Consolidación",0,IF(E2="NO",C2*0.5,C2*$K$10))</f>
        <v>10310.422464265448</v>
      </c>
      <c r="G2" s="11">
        <f ref="G2:G65" t="shared" si="1">IF(B2="Consolidación",0,IF(E2="NO",C2*0.5,C2*$K$11))</f>
        <v>14902.577535734552</v>
      </c>
      <c r="H2" s="9" t="s">
        <v>237</v>
      </c>
      <c r="I2" s="11"/>
      <c r="J2" s="12">
        <f>SUM(K2,L2)</f>
        <v>177046.34</v>
      </c>
      <c r="K2" s="12">
        <f>SUMIF(D2:D100,"Andrea",C2:C100)-SUMIFS(C2:C100,B2:B100,"Consolidación",D2:D100,"Juan")</f>
        <v>25213</v>
      </c>
      <c r="L2" s="12">
        <f>SUMIF(D2:D100,"Juan",C2:C100)-SUMIFS(C2:C100,B2:B100,"Consolidación",D2:D100,"Andrea")</f>
        <v>151833.34</v>
      </c>
      <c r="M2" s="13">
        <f>SUM(F2:F500)-K2+'Junio-26'!M2</f>
        <v>596604.74562318949</v>
      </c>
      <c r="N2" s="13">
        <f>SUM(G2:G500)-L2+'Junio-26'!N2</f>
        <v>-596604.74562318821</v>
      </c>
    </row>
    <row r="3" ht="14.25" customHeight="1">
      <c r="A3" s="7">
        <v>45962</v>
      </c>
      <c r="B3" s="8" t="s">
        <v>16</v>
      </c>
      <c r="C3" s="9">
        <v>151833.34</v>
      </c>
      <c r="D3" s="10" t="s">
        <v>14</v>
      </c>
      <c r="E3" s="10" t="s">
        <v>15</v>
      </c>
      <c r="F3" s="11">
        <f t="shared" si="0"/>
        <v>62089.631521851967</v>
      </c>
      <c r="G3" s="11">
        <f t="shared" si="1"/>
        <v>89743.708478148037</v>
      </c>
      <c r="H3" s="9" t="s">
        <v>238</v>
      </c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>
      <c r="A101" s="20">
        <v>46217.7686561574</v>
      </c>
      <c r="B101" s="0" t="s">
        <v>128</v>
      </c>
      <c r="C101" s="21">
        <v>1</v>
      </c>
      <c r="D101" s="0" t="s">
        <v>14</v>
      </c>
      <c r="E101" s="0" t="s">
        <v>175</v>
      </c>
      <c r="H101" s="0" t="s">
        <v>239</v>
      </c>
    </row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DD48E7FB-8D4A-4F69-9B2A-1F8D89E89220}">
      <formula1>0</formula1>
      <formula2>9999999</formula2>
    </dataValidation>
    <dataValidation type="list" allowBlank="1" showErrorMessage="1" sqref="B8:B50 B2:B6" xr:uid="{7AD36246-9D9C-4C49-B342-559C5CFBC2A9}">
      <formula1>Tipo</formula1>
    </dataValidation>
    <dataValidation type="list" allowBlank="1" showErrorMessage="1" sqref="E8:E50 E2:E6" xr:uid="{AF22A066-CBE3-45A9-9629-5304548CE22A}">
      <formula1>Proporcional</formula1>
    </dataValidation>
    <dataValidation type="list" allowBlank="1" showErrorMessage="1" sqref="D8:D50 D2:D6" xr:uid="{4E3EDC3C-95A8-4F82-9EAA-391C28705DB8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47EE3-97BE-4A7D-8BF9-D42FEF7A1CE5}">
  <sheetPr codeName="Hoja139"/>
  <dimension ref="A1:N101"/>
  <sheetViews>
    <sheetView zoomScale="85" zoomScaleNormal="85" workbookViewId="0">
      <selection activeCell="D7" sqref="D7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4" t="shared" si="0">IF(B2="Consolidación",0,IF(E2="NO",C2*0.5,C2*$K$10))</f>
        <v>62089.631521851967</v>
      </c>
      <c r="G2" s="11">
        <f ref="G2:G4" t="shared" si="1">IF(B2="Consolidación",0,IF(E2="NO",C2*0.5,C2*$K$11))</f>
        <v>89743.708478148037</v>
      </c>
      <c r="H2" s="9" t="s">
        <v>240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SUM(F2:F50)-K2+'Julio-26'!M2</f>
        <v>658694.37714504148</v>
      </c>
      <c r="N2" s="13">
        <f>SUM(G2:G50)-L2+'Julio-26'!N2</f>
        <v>-658694.3771450402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ref="F5:F65" t="shared" si="2">IF(B5="Consolidación",0,IF(E5="NO",C5*0.5,C5*$K$10))</f>
        <v>0</v>
      </c>
      <c r="G5" s="11">
        <f ref="G5:G65" t="shared" si="3">IF(B5="Consolidación",0,IF(E5="NO",C5*0.5,C5*$K$11))</f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2"/>
        <v>0</v>
      </c>
      <c r="G6" s="11">
        <f t="shared" si="3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2"/>
        <v>0</v>
      </c>
      <c r="G7" s="11">
        <f t="shared" si="3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2"/>
        <v>0</v>
      </c>
      <c r="G8" s="11">
        <f t="shared" si="3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2"/>
        <v>0</v>
      </c>
      <c r="G9" s="11">
        <f t="shared" si="3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2"/>
        <v>0</v>
      </c>
      <c r="G10" s="11">
        <f t="shared" si="3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2"/>
        <v>0</v>
      </c>
      <c r="G11" s="11">
        <f t="shared" si="3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2"/>
        <v>0</v>
      </c>
      <c r="G12" s="11">
        <f t="shared" si="3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2"/>
        <v>0</v>
      </c>
      <c r="G13" s="11">
        <f t="shared" si="3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2"/>
        <v>0</v>
      </c>
      <c r="G14" s="11">
        <f t="shared" si="3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2"/>
        <v>0</v>
      </c>
      <c r="G15" s="11">
        <f t="shared" si="3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2"/>
        <v>0</v>
      </c>
      <c r="G16" s="11">
        <f t="shared" si="3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2"/>
        <v>0</v>
      </c>
      <c r="G17" s="11">
        <f t="shared" si="3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2"/>
        <v>0</v>
      </c>
      <c r="G18" s="11">
        <f t="shared" si="3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2"/>
        <v>0</v>
      </c>
      <c r="G19" s="11">
        <f t="shared" si="3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2"/>
        <v>0</v>
      </c>
      <c r="G20" s="11">
        <f t="shared" si="3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2"/>
        <v>0</v>
      </c>
      <c r="G21" s="11">
        <f t="shared" si="3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2"/>
        <v>0</v>
      </c>
      <c r="G22" s="11">
        <f t="shared" si="3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2"/>
        <v>0</v>
      </c>
      <c r="G23" s="11">
        <f t="shared" si="3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2"/>
        <v>0</v>
      </c>
      <c r="G24" s="11">
        <f t="shared" si="3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2"/>
        <v>0</v>
      </c>
      <c r="G25" s="11">
        <f t="shared" si="3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2"/>
        <v>0</v>
      </c>
      <c r="G26" s="11">
        <f t="shared" si="3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2"/>
        <v>0</v>
      </c>
      <c r="G27" s="11">
        <f t="shared" si="3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2"/>
        <v>0</v>
      </c>
      <c r="G28" s="11">
        <f t="shared" si="3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2"/>
        <v>0</v>
      </c>
      <c r="G29" s="11">
        <f t="shared" si="3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2"/>
        <v>0</v>
      </c>
      <c r="G30" s="11">
        <f t="shared" si="3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2"/>
        <v>0</v>
      </c>
      <c r="G31" s="11">
        <f t="shared" si="3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2"/>
        <v>0</v>
      </c>
      <c r="G32" s="11">
        <f t="shared" si="3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2"/>
        <v>0</v>
      </c>
      <c r="G33" s="11">
        <f t="shared" si="3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2"/>
        <v>0</v>
      </c>
      <c r="G34" s="11">
        <f t="shared" si="3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2"/>
        <v>0</v>
      </c>
      <c r="G35" s="11">
        <f t="shared" si="3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2"/>
        <v>0</v>
      </c>
      <c r="G36" s="11">
        <f t="shared" si="3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2"/>
        <v>0</v>
      </c>
      <c r="G37" s="11">
        <f t="shared" si="3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2"/>
        <v>0</v>
      </c>
      <c r="G38" s="11">
        <f t="shared" si="3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2"/>
        <v>0</v>
      </c>
      <c r="G39" s="11">
        <f t="shared" si="3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2"/>
        <v>0</v>
      </c>
      <c r="G40" s="11">
        <f t="shared" si="3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2"/>
        <v>0</v>
      </c>
      <c r="G41" s="11">
        <f t="shared" si="3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2"/>
        <v>0</v>
      </c>
      <c r="G42" s="11">
        <f t="shared" si="3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2"/>
        <v>0</v>
      </c>
      <c r="G43" s="11">
        <f t="shared" si="3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2"/>
        <v>0</v>
      </c>
      <c r="G44" s="11">
        <f t="shared" si="3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2"/>
        <v>0</v>
      </c>
      <c r="G45" s="11">
        <f t="shared" si="3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2"/>
        <v>0</v>
      </c>
      <c r="G46" s="11">
        <f t="shared" si="3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2"/>
        <v>0</v>
      </c>
      <c r="G47" s="11">
        <f t="shared" si="3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2"/>
        <v>0</v>
      </c>
      <c r="G48" s="11">
        <f t="shared" si="3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2"/>
        <v>0</v>
      </c>
      <c r="G49" s="11">
        <f t="shared" si="3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2"/>
        <v>0</v>
      </c>
      <c r="G50" s="11">
        <f t="shared" si="3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2"/>
        <v>0</v>
      </c>
      <c r="G51" s="11">
        <f t="shared" si="3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2"/>
        <v>0</v>
      </c>
      <c r="G52" s="11">
        <f t="shared" si="3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2"/>
        <v>0</v>
      </c>
      <c r="G53" s="11">
        <f t="shared" si="3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2"/>
        <v>0</v>
      </c>
      <c r="G54" s="11">
        <f t="shared" si="3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2"/>
        <v>0</v>
      </c>
      <c r="G55" s="11">
        <f t="shared" si="3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2"/>
        <v>0</v>
      </c>
      <c r="G56" s="11">
        <f t="shared" si="3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2"/>
        <v>0</v>
      </c>
      <c r="G57" s="11">
        <f t="shared" si="3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2"/>
        <v>0</v>
      </c>
      <c r="G58" s="11">
        <f t="shared" si="3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2"/>
        <v>0</v>
      </c>
      <c r="G59" s="11">
        <f t="shared" si="3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2"/>
        <v>0</v>
      </c>
      <c r="G60" s="11">
        <f t="shared" si="3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2"/>
        <v>0</v>
      </c>
      <c r="G61" s="11">
        <f t="shared" si="3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2"/>
        <v>0</v>
      </c>
      <c r="G62" s="11">
        <f t="shared" si="3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2"/>
        <v>0</v>
      </c>
      <c r="G63" s="11">
        <f t="shared" si="3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2"/>
        <v>0</v>
      </c>
      <c r="G64" s="11">
        <f t="shared" si="3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2"/>
        <v>0</v>
      </c>
      <c r="G65" s="11">
        <f t="shared" si="3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4">IF(B66="Consolidación",0,IF(E66="NO",C66*0.5,C66*$K$10))</f>
        <v>0</v>
      </c>
      <c r="G66" s="11">
        <f ref="G66:G100" t="shared" si="5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4"/>
        <v>0</v>
      </c>
      <c r="G67" s="11">
        <f t="shared" si="5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4"/>
        <v>0</v>
      </c>
      <c r="G68" s="11">
        <f t="shared" si="5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4"/>
        <v>0</v>
      </c>
      <c r="G69" s="11">
        <f t="shared" si="5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4"/>
        <v>0</v>
      </c>
      <c r="G70" s="11">
        <f t="shared" si="5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4"/>
        <v>0</v>
      </c>
      <c r="G71" s="11">
        <f t="shared" si="5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4"/>
        <v>0</v>
      </c>
      <c r="G72" s="11">
        <f t="shared" si="5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4"/>
        <v>0</v>
      </c>
      <c r="G73" s="11">
        <f t="shared" si="5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4"/>
        <v>0</v>
      </c>
      <c r="G74" s="11">
        <f t="shared" si="5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4"/>
        <v>0</v>
      </c>
      <c r="G75" s="11">
        <f t="shared" si="5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4"/>
        <v>0</v>
      </c>
      <c r="G76" s="11">
        <f t="shared" si="5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4"/>
        <v>0</v>
      </c>
      <c r="G77" s="11">
        <f t="shared" si="5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4"/>
        <v>0</v>
      </c>
      <c r="G78" s="11">
        <f t="shared" si="5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4"/>
        <v>0</v>
      </c>
      <c r="G79" s="11">
        <f t="shared" si="5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4"/>
        <v>0</v>
      </c>
      <c r="G80" s="11">
        <f t="shared" si="5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4"/>
        <v>0</v>
      </c>
      <c r="G81" s="11">
        <f t="shared" si="5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4"/>
        <v>0</v>
      </c>
      <c r="G82" s="11">
        <f t="shared" si="5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4"/>
        <v>0</v>
      </c>
      <c r="G83" s="11">
        <f t="shared" si="5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4"/>
        <v>0</v>
      </c>
      <c r="G84" s="11">
        <f t="shared" si="5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4"/>
        <v>0</v>
      </c>
      <c r="G85" s="11">
        <f t="shared" si="5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4"/>
        <v>0</v>
      </c>
      <c r="G86" s="11">
        <f t="shared" si="5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4"/>
        <v>0</v>
      </c>
      <c r="G87" s="11">
        <f t="shared" si="5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4"/>
        <v>0</v>
      </c>
      <c r="G88" s="11">
        <f t="shared" si="5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4"/>
        <v>0</v>
      </c>
      <c r="G89" s="11">
        <f t="shared" si="5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4"/>
        <v>0</v>
      </c>
      <c r="G90" s="11">
        <f t="shared" si="5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4"/>
        <v>0</v>
      </c>
      <c r="G91" s="11">
        <f t="shared" si="5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4"/>
        <v>0</v>
      </c>
      <c r="G92" s="11">
        <f t="shared" si="5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4"/>
        <v>0</v>
      </c>
      <c r="G93" s="11">
        <f t="shared" si="5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4"/>
        <v>0</v>
      </c>
      <c r="G94" s="11">
        <f t="shared" si="5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4"/>
        <v>0</v>
      </c>
      <c r="G95" s="11">
        <f t="shared" si="5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4"/>
        <v>0</v>
      </c>
      <c r="G96" s="11">
        <f t="shared" si="5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4"/>
        <v>0</v>
      </c>
      <c r="G97" s="11">
        <f t="shared" si="5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4"/>
        <v>0</v>
      </c>
      <c r="G98" s="11">
        <f t="shared" si="5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4"/>
        <v>0</v>
      </c>
      <c r="G99" s="11">
        <f t="shared" si="5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4"/>
        <v>0</v>
      </c>
      <c r="G100" s="11">
        <f t="shared" si="5"/>
        <v>0</v>
      </c>
      <c r="H100" s="9"/>
    </row>
    <row r="101" ht="14.25" customHeight="1">
      <c r="A101" s="20">
        <v>46248.7686561574</v>
      </c>
      <c r="B101" s="0" t="s">
        <v>128</v>
      </c>
      <c r="C101" s="21">
        <v>1</v>
      </c>
      <c r="D101" s="0" t="s">
        <v>14</v>
      </c>
      <c r="E101" s="0" t="s">
        <v>175</v>
      </c>
      <c r="H101" s="0" t="s">
        <v>241</v>
      </c>
    </row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8:D50 D2:D6" xr:uid="{00DE2F5B-6C42-4C81-A318-8A5082187361}">
      <formula1>Quien</formula1>
    </dataValidation>
    <dataValidation type="list" allowBlank="1" showErrorMessage="1" sqref="E8:E50 E2:E6" xr:uid="{23EEA389-E678-449B-A2E0-C412729F250A}">
      <formula1>Proporcional</formula1>
    </dataValidation>
    <dataValidation type="list" allowBlank="1" showErrorMessage="1" sqref="B8:B50 B2:B6" xr:uid="{6418E1F0-0377-4E6D-B2ED-AB753BE1DD2E}">
      <formula1>Tipo</formula1>
    </dataValidation>
    <dataValidation type="decimal" allowBlank="1" showErrorMessage="1" sqref="C8:C50 C2:C6" xr:uid="{D67C1D49-3B5A-49BD-851B-6B970FD21BE4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501EB-0779-46EA-8A8A-9456305E3D8C}">
  <sheetPr codeName="Hoja140"/>
  <dimension ref="A1:N101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254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SUM(F2:F50)-K2+'Agosto-26'!M2</f>
        <v>720784.00866689347</v>
      </c>
      <c r="N2" s="13">
        <f>SUM(G2:G50)-L2+'Agosto-26'!N2</f>
        <v>-720784.00866689219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>
      <c r="A101" s="20">
        <v>46279.7686561574</v>
      </c>
      <c r="B101" s="0" t="s">
        <v>128</v>
      </c>
      <c r="C101" s="21">
        <v>1</v>
      </c>
      <c r="D101" s="0" t="s">
        <v>14</v>
      </c>
      <c r="E101" s="0" t="s">
        <v>175</v>
      </c>
      <c r="H101" s="0" t="s">
        <v>255</v>
      </c>
    </row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FE23767A-564E-44D8-984D-F612DFD047BB}">
      <formula1>0</formula1>
      <formula2>9999999</formula2>
    </dataValidation>
    <dataValidation type="list" allowBlank="1" showErrorMessage="1" sqref="B8:B50 B2:B6" xr:uid="{4F6ACE32-10FB-4388-BCE8-DB0FD143493B}">
      <formula1>Tipo</formula1>
    </dataValidation>
    <dataValidation type="list" allowBlank="1" showErrorMessage="1" sqref="E8:E50 E2:E6" xr:uid="{3AD14249-17DC-4932-9A3A-98330C85EA6B}">
      <formula1>Proporcional</formula1>
    </dataValidation>
    <dataValidation type="list" allowBlank="1" showErrorMessage="1" sqref="D8:D50 D2:D6" xr:uid="{BE16316A-6733-4243-A1CE-9C838B34C18E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70A23-29BE-48E5-8B54-7D601354311F}">
  <sheetPr codeName="Hoja141"/>
  <dimension ref="A1:N101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257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SUM(F2:F50)-K2+'Septiembre-26'!M2</f>
        <v>782873.64018874546</v>
      </c>
      <c r="N2" s="13">
        <f>SUM(G2:G50)-L2+'Septiembre-26'!N2</f>
        <v>-782873.64018874418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>
      <c r="A101" s="20">
        <v>46309.7686561574</v>
      </c>
      <c r="B101" s="0" t="s">
        <v>128</v>
      </c>
      <c r="C101" s="21">
        <v>1</v>
      </c>
      <c r="D101" s="0" t="s">
        <v>14</v>
      </c>
      <c r="E101" s="0" t="s">
        <v>175</v>
      </c>
      <c r="H101" s="0" t="s">
        <v>258</v>
      </c>
    </row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8:D50 D2:D6" xr:uid="{0D14C757-7F6E-4DD0-B6CD-3CEF0D2290CC}">
      <formula1>Quien</formula1>
    </dataValidation>
    <dataValidation type="list" allowBlank="1" showErrorMessage="1" sqref="E8:E50 E2:E6" xr:uid="{F0D3CA1D-B931-4809-85E9-32B312B1FA41}">
      <formula1>Proporcional</formula1>
    </dataValidation>
    <dataValidation type="list" allowBlank="1" showErrorMessage="1" sqref="B8:B50 B2:B6" xr:uid="{B483F362-EA11-40A4-A00F-ED46F0EF94E5}">
      <formula1>Tipo</formula1>
    </dataValidation>
    <dataValidation type="decimal" allowBlank="1" showErrorMessage="1" sqref="C8:C50 C2:C6" xr:uid="{B19A30F9-6E7E-4CAF-93C9-2EBBA1E3DA72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49F58-53AC-4C05-8BAC-B3E8EE64A496}">
  <sheetPr codeName="Hoja142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256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SUM(F2:F50)-K2+'Octubre-26'!M2</f>
        <v>844963.27171059744</v>
      </c>
      <c r="N2" s="13">
        <f>SUM(G2:G50)-L2+'Octubre-26'!N2</f>
        <v>-844963.27171059616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0E8B9F20-6FD2-4C18-B284-D81E7C14A51E}">
      <formula1>0</formula1>
      <formula2>9999999</formula2>
    </dataValidation>
    <dataValidation type="list" allowBlank="1" showErrorMessage="1" sqref="B8:B50 B2:B6" xr:uid="{6F45C5DA-5E36-4CCE-8FFE-E856A16DE26A}">
      <formula1>Tipo</formula1>
    </dataValidation>
    <dataValidation type="list" allowBlank="1" showErrorMessage="1" sqref="E8:E50 E2:E6" xr:uid="{752A6AA6-955A-4880-8481-5CF0C7B2F3B9}">
      <formula1>Proporcional</formula1>
    </dataValidation>
    <dataValidation type="list" allowBlank="1" showErrorMessage="1" sqref="D8:D50 D2:D6" xr:uid="{B18D4606-7AF0-450E-9235-6E2C40A1EA14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58D81-B9F0-4587-B42F-CC0B80E3F939}">
  <sheetPr codeName="Hoja143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242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SUM(F2:F50)-K2+'Noviembre-26'!M2</f>
        <v>907052.90323244943</v>
      </c>
      <c r="N2" s="13">
        <f>SUM(G2:G50)-L2+'Noviembre-26'!N2</f>
        <v>-907052.90323244815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8:D50 D2:D6" xr:uid="{AF576B16-60DE-4225-A087-9E0207E96061}">
      <formula1>Quien</formula1>
    </dataValidation>
    <dataValidation type="list" allowBlank="1" showErrorMessage="1" sqref="E8:E50 E2:E6" xr:uid="{6287CE88-E70B-42E2-921A-65AF616DF943}">
      <formula1>Proporcional</formula1>
    </dataValidation>
    <dataValidation type="list" allowBlank="1" showErrorMessage="1" sqref="B8:B50 B2:B6" xr:uid="{05B56418-5F86-4A19-B9E1-D33957C00D4D}">
      <formula1>Tipo</formula1>
    </dataValidation>
    <dataValidation type="decimal" allowBlank="1" showErrorMessage="1" sqref="C8:C50 C2:C6" xr:uid="{DF4E9532-E100-44A1-81EF-39C784E589E9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2EE01-043A-4F86-93D9-CB0EE5B4510E}">
  <sheetPr codeName="Hoja144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243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SUM(F2:F50)-K2+'Diciembre-26'!M2</f>
        <v>969142.53475430142</v>
      </c>
      <c r="N2" s="13">
        <f>SUM(G2:G50)-L2+'Diciembre-26'!N2</f>
        <v>-969142.53475430014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543E71BB-78FA-4805-96D2-A68142FDD0A3}">
      <formula1>0</formula1>
      <formula2>9999999</formula2>
    </dataValidation>
    <dataValidation type="list" allowBlank="1" showErrorMessage="1" sqref="B8:B50 B2:B6" xr:uid="{E4D26622-AD4A-4F83-9DE5-422C860E84F2}">
      <formula1>Tipo</formula1>
    </dataValidation>
    <dataValidation type="list" allowBlank="1" showErrorMessage="1" sqref="E8:E50 E2:E6" xr:uid="{898560C8-5525-4A3C-A657-A3B75C4649D3}">
      <formula1>Proporcional</formula1>
    </dataValidation>
    <dataValidation type="list" allowBlank="1" showErrorMessage="1" sqref="D8:D50 D2:D6" xr:uid="{87834FAB-DF4F-48AA-9009-E29FBFC6579D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C35F-9970-4C08-A510-12B45D4664EE}">
  <sheetPr codeName="Hoja145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244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SUM(F2:F50)-K2+'Enero-27'!M2</f>
        <v>1031232.1662761534</v>
      </c>
      <c r="N2" s="13">
        <f>SUM(G2:G50)-L2+'Enero-27'!N2</f>
        <v>-1031232.1662761521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8:D50 D2:D6" xr:uid="{2782E7E2-851C-4B82-8A48-FCA26D30C989}">
      <formula1>Quien</formula1>
    </dataValidation>
    <dataValidation type="list" allowBlank="1" showErrorMessage="1" sqref="E8:E50 E2:E6" xr:uid="{64F0F324-8C66-4D7F-A60E-815845AA31C7}">
      <formula1>Proporcional</formula1>
    </dataValidation>
    <dataValidation type="list" allowBlank="1" showErrorMessage="1" sqref="B8:B50 B2:B6" xr:uid="{E995A673-BB1C-4690-AB9D-A8D01960CE68}">
      <formula1>Tipo</formula1>
    </dataValidation>
    <dataValidation type="decimal" allowBlank="1" showErrorMessage="1" sqref="C8:C50 C2:C6" xr:uid="{320606AF-DB94-4710-9FB5-BF9D7EE3172B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E23E6-1580-4D0C-85B4-8D5E81317D24}">
  <sheetPr codeName="Hoja146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245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SUM(F2:F50)-K2+'Febrero-27'!M2</f>
        <v>1093321.7977980054</v>
      </c>
      <c r="N2" s="13">
        <f>SUM(G2:G50)-L2+'Febrero-27'!N2</f>
        <v>-1093321.797798004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EA314F3F-5DBF-4EDF-A908-E100C239406D}">
      <formula1>0</formula1>
      <formula2>9999999</formula2>
    </dataValidation>
    <dataValidation type="list" allowBlank="1" showErrorMessage="1" sqref="B8:B50 B2:B6" xr:uid="{6566F4FD-7754-48A2-AB04-B09BF5F808F9}">
      <formula1>Tipo</formula1>
    </dataValidation>
    <dataValidation type="list" allowBlank="1" showErrorMessage="1" sqref="E8:E50 E2:E6" xr:uid="{B956BAC0-C386-461E-B05F-3A83ABF47702}">
      <formula1>Proporcional</formula1>
    </dataValidation>
    <dataValidation type="list" allowBlank="1" showErrorMessage="1" sqref="D8:D50 D2:D6" xr:uid="{29DC2E75-D5AB-4B65-AAAC-E0432829BFA0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8CA51-61FC-47EA-BAC6-FA634C08BB40}">
  <sheetPr codeName="Hoja147"/>
  <dimension ref="A1:N100"/>
  <sheetViews>
    <sheetView zoomScale="85" zoomScaleNormal="85" workbookViewId="0">
      <selection activeCell="E16" sqref="E16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246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SUM(F2:F50)-K2+'Marzo-27'!M2</f>
        <v>1155411.4293198574</v>
      </c>
      <c r="N2" s="13">
        <f>SUM(G2:G50)-L2+'Marzo-27'!N2</f>
        <v>-1155411.429319856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8:D50 D2:D6" xr:uid="{0CD5B47E-FFB7-4AA7-A046-192F90C52386}">
      <formula1>Quien</formula1>
    </dataValidation>
    <dataValidation type="list" allowBlank="1" showErrorMessage="1" sqref="E8:E50 E2:E6" xr:uid="{5A489E6E-BC22-40A3-B1C9-3E5E1AC8A44C}">
      <formula1>Proporcional</formula1>
    </dataValidation>
    <dataValidation type="list" allowBlank="1" showErrorMessage="1" sqref="B8:B50 B2:B6" xr:uid="{7948FA4C-079E-461F-8021-8ED3B9887AEA}">
      <formula1>Tipo</formula1>
    </dataValidation>
    <dataValidation type="decimal" allowBlank="1" showErrorMessage="1" sqref="C8:C50 C2:C6" xr:uid="{56FB3B54-6026-4FEC-BEFA-C45B1A51C41C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3"/>
  <dimension ref="A1:C23"/>
  <sheetViews>
    <sheetView workbookViewId="0"/>
  </sheetViews>
  <sheetFormatPr defaultColWidth="14.453125" defaultRowHeight="15" customHeight="1" x14ac:dyDescent="0.35"/>
  <cols>
    <col min="1" max="26" width="11.453125" customWidth="1"/>
  </cols>
  <sheetData>
    <row r="1" ht="14.25" customHeight="1">
      <c r="A1" s="17" t="s">
        <v>27</v>
      </c>
      <c r="B1" s="17" t="s">
        <v>20</v>
      </c>
      <c r="C1" s="18" t="s">
        <v>15</v>
      </c>
    </row>
    <row r="2" ht="14.25" customHeight="1">
      <c r="A2" s="17" t="s">
        <v>35</v>
      </c>
      <c r="B2" s="17" t="s">
        <v>14</v>
      </c>
      <c r="C2" s="17" t="s">
        <v>17</v>
      </c>
    </row>
    <row r="3" ht="14.25" customHeight="1">
      <c r="A3" s="17" t="s">
        <v>36</v>
      </c>
    </row>
    <row r="4" ht="14.25" customHeight="1">
      <c r="A4" s="17" t="s">
        <v>63</v>
      </c>
    </row>
    <row r="5" ht="14.25" customHeight="1">
      <c r="A5" s="17" t="s">
        <v>247</v>
      </c>
    </row>
    <row r="6" ht="14.25" customHeight="1">
      <c r="A6" s="17" t="s">
        <v>248</v>
      </c>
    </row>
    <row r="7" ht="14.25" customHeight="1">
      <c r="A7" s="17" t="s">
        <v>51</v>
      </c>
    </row>
    <row r="8" ht="14.25" customHeight="1">
      <c r="A8" s="17" t="s">
        <v>66</v>
      </c>
    </row>
    <row r="9" ht="14.25" customHeight="1">
      <c r="A9" s="17" t="s">
        <v>62</v>
      </c>
    </row>
    <row r="10" ht="14.25" customHeight="1">
      <c r="A10" s="17" t="s">
        <v>52</v>
      </c>
    </row>
    <row r="11" ht="14.25" customHeight="1">
      <c r="A11" s="17" t="s">
        <v>249</v>
      </c>
    </row>
    <row r="12" ht="14.25" customHeight="1">
      <c r="A12" s="17" t="s">
        <v>250</v>
      </c>
    </row>
    <row r="13" ht="14.25" customHeight="1">
      <c r="A13" s="17" t="s">
        <v>33</v>
      </c>
    </row>
    <row r="14" ht="14.25" customHeight="1">
      <c r="A14" s="17" t="s">
        <v>127</v>
      </c>
    </row>
    <row r="15" ht="14.25" customHeight="1">
      <c r="A15" s="17" t="s">
        <v>251</v>
      </c>
    </row>
    <row r="16" ht="14.25" customHeight="1">
      <c r="A16" s="17" t="s">
        <v>252</v>
      </c>
    </row>
    <row r="17" ht="14.25" customHeight="1">
      <c r="A17" s="17" t="s">
        <v>13</v>
      </c>
    </row>
    <row r="18" ht="14.25" customHeight="1">
      <c r="A18" s="17" t="s">
        <v>99</v>
      </c>
    </row>
    <row r="19" ht="14.25" customHeight="1">
      <c r="A19" s="17" t="s">
        <v>253</v>
      </c>
    </row>
    <row r="20" ht="14.25" customHeight="1">
      <c r="A20" s="17" t="s">
        <v>19</v>
      </c>
    </row>
    <row r="21" ht="14.25" customHeight="1">
      <c r="A21" s="17" t="s">
        <v>23</v>
      </c>
    </row>
    <row r="22" ht="14.25" customHeight="1">
      <c r="A22" s="17" t="s">
        <v>46</v>
      </c>
    </row>
    <row r="23" ht="14.25" customHeight="1">
      <c r="A23" s="17" t="s">
        <v>16</v>
      </c>
    </row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7" top="0.75" bottom="0.75" header="0" footer="0"/>
  <pageSetup orientation="landscape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501EB-0779-46EA-8A8A-9456305E3D8C}">
  <sheetPr codeName="Sheet24"/>
  <dimension ref="A1:N102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/>
      <c r="B2" s="8"/>
      <c r="C2" s="9"/>
      <c r="D2" s="10"/>
      <c r="E2" s="10"/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/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</f>
      </c>
      <c r="N2" s="13">
        <f>SUM(G2:G50)-L2</f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>
      <c r="A101" s="20"/>
      <c r="B101"/>
      <c r="C101" s="21"/>
      <c r="D101"/>
      <c r="E101"/>
      <c r="H101"/>
    </row>
    <row r="102" ht="14.25" customHeight="1">
      <c r="A102" s="20">
        <v>46554.7744560185</v>
      </c>
      <c r="B102" s="0" t="s">
        <v>36</v>
      </c>
      <c r="C102" s="21">
        <v>1</v>
      </c>
      <c r="D102" s="0" t="s">
        <v>14</v>
      </c>
      <c r="E102" s="0" t="s">
        <v>175</v>
      </c>
      <c r="H102" s="0" t="s">
        <v>259</v>
      </c>
    </row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FE23767A-564E-44D8-984D-F612DFD047BB}">
      <formula1>0</formula1>
      <formula2>9999999</formula2>
    </dataValidation>
    <dataValidation type="list" allowBlank="1" showErrorMessage="1" sqref="B8:B50 B2:B6" xr:uid="{4F6ACE32-10FB-4388-BCE8-DB0FD143493B}">
      <formula1>Tipo</formula1>
    </dataValidation>
    <dataValidation type="list" allowBlank="1" showErrorMessage="1" sqref="E8:E50 E2:E6" xr:uid="{3AD14249-17DC-4932-9A3A-98330C85EA6B}">
      <formula1>Proporcional</formula1>
    </dataValidation>
    <dataValidation type="list" allowBlank="1" showErrorMessage="1" sqref="D8:D50 D2:D6" xr:uid="{BE16316A-6733-4243-A1CE-9C838B34C18E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501EB-0779-46EA-8A8A-9456305E3D8C}">
  <sheetPr codeName="Sheet25"/>
  <dimension ref="A1:N102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/>
      <c r="B2" s="8"/>
      <c r="C2" s="9"/>
      <c r="D2" s="10"/>
      <c r="E2" s="10"/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/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SUM(F2:F50)-K2+'abril-27'!M2</f>
      </c>
      <c r="N2" s="13">
        <f>SUM(G2:G50)-L2+'abril-27'!N2</f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>
      <c r="A101" s="20"/>
      <c r="B101"/>
      <c r="C101" s="21"/>
      <c r="D101"/>
      <c r="E101"/>
      <c r="H101"/>
    </row>
    <row r="102" ht="14.25" customHeight="1">
      <c r="A102" s="20">
        <v>46520.7751388889</v>
      </c>
      <c r="B102" s="0" t="s">
        <v>36</v>
      </c>
      <c r="C102" s="21">
        <v>1</v>
      </c>
      <c r="D102" s="0" t="s">
        <v>14</v>
      </c>
      <c r="E102" s="0" t="s">
        <v>175</v>
      </c>
      <c r="H102" s="0" t="s">
        <v>259</v>
      </c>
    </row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FE23767A-564E-44D8-984D-F612DFD047BB}">
      <formula1>0</formula1>
      <formula2>9999999</formula2>
    </dataValidation>
    <dataValidation type="list" allowBlank="1" showErrorMessage="1" sqref="B8:B50 B2:B6" xr:uid="{4F6ACE32-10FB-4388-BCE8-DB0FD143493B}">
      <formula1>Tipo</formula1>
    </dataValidation>
    <dataValidation type="list" allowBlank="1" showErrorMessage="1" sqref="E8:E50 E2:E6" xr:uid="{3AD14249-17DC-4932-9A3A-98330C85EA6B}">
      <formula1>Proporcional</formula1>
    </dataValidation>
    <dataValidation type="list" allowBlank="1" showErrorMessage="1" sqref="D8:D50 D2:D6" xr:uid="{BE16316A-6733-4243-A1CE-9C838B34C18E}">
      <formula1>Quien</formula1>
    </dataValidation>
  </dataValidations>
  <pageMargins left="0.7" right="0.7" top="0.75" bottom="0.75" header="0" footer="0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4</vt:i4>
      </vt:variant>
    </vt:vector>
  </HeadingPairs>
  <TitlesOfParts>
    <vt:vector size="28" baseType="lpstr">
      <vt:lpstr>Junio-25</vt:lpstr>
      <vt:lpstr>Julio-25</vt:lpstr>
      <vt:lpstr>Agosto-25</vt:lpstr>
      <vt:lpstr>Septiembre-25</vt:lpstr>
      <vt:lpstr>Octubre-25</vt:lpstr>
      <vt:lpstr>Noviembre-25</vt:lpstr>
      <vt:lpstr>Diciembre-25</vt:lpstr>
      <vt:lpstr>Enero-26</vt:lpstr>
      <vt:lpstr>Febrero-26</vt:lpstr>
      <vt:lpstr>Marzo-26</vt:lpstr>
      <vt:lpstr>Abril-26</vt:lpstr>
      <vt:lpstr>Mayo-26</vt:lpstr>
      <vt:lpstr>Junio-26</vt:lpstr>
      <vt:lpstr>Julio-26</vt:lpstr>
      <vt:lpstr>Agosto-26</vt:lpstr>
      <vt:lpstr>Septiembre-26</vt:lpstr>
      <vt:lpstr>Octubre-26</vt:lpstr>
      <vt:lpstr>Noviembre-26</vt:lpstr>
      <vt:lpstr>Diciembre-26</vt:lpstr>
      <vt:lpstr>Enero-27</vt:lpstr>
      <vt:lpstr>Febrero-27</vt:lpstr>
      <vt:lpstr>Marzo-27</vt:lpstr>
      <vt:lpstr>Abril-27</vt:lpstr>
      <vt:lpstr>Parametros</vt:lpstr>
      <vt:lpstr>Categoría</vt:lpstr>
      <vt:lpstr>Proporcional</vt:lpstr>
      <vt:lpstr>Quien</vt:lpstr>
      <vt:lpstr>Tipo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</dc:creator>
  <cp:lastModifiedBy>Juan Rocco</cp:lastModifiedBy>
  <dcterms:created xsi:type="dcterms:W3CDTF">2014-01-06T19:57:51Z</dcterms:created>
  <dcterms:modified xsi:type="dcterms:W3CDTF">2025-11-11T21:49:16Z</dcterms:modified>
</cp:coreProperties>
</file>